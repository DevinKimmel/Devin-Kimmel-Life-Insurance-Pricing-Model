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n\OneDrive\Desktop\"/>
    </mc:Choice>
  </mc:AlternateContent>
  <xr:revisionPtr revIDLastSave="0" documentId="13_ncr:1_{13BF9CFE-A0DA-438D-BF4C-7E243AF0D264}" xr6:coauthVersionLast="47" xr6:coauthVersionMax="47" xr10:uidLastSave="{00000000-0000-0000-0000-000000000000}"/>
  <bookViews>
    <workbookView xWindow="5010" yWindow="1290" windowWidth="19335" windowHeight="14805" activeTab="2" xr2:uid="{040C2224-F33C-4B50-9494-248083E64C85}"/>
  </bookViews>
  <sheets>
    <sheet name="FNS" sheetId="5" r:id="rId1"/>
    <sheet name="MNS" sheetId="6" r:id="rId2"/>
    <sheet name="Pricing Model" sheetId="3" r:id="rId3"/>
    <sheet name="Sensitivity" sheetId="4" r:id="rId4"/>
  </sheets>
  <definedNames>
    <definedName name="col_annuity">OFFSET('Pricing Model'!$G$4,0,0,'Pricing Model'!$L$26,1)</definedName>
    <definedName name="col_EPVDeath">OFFSET('Pricing Model'!$H$4,0,0,'Pricing Model'!$L$26,1)</definedName>
    <definedName name="col_px">OFFSET('Pricing Model'!$D$4,0,0,'Pricing Model'!$L$26,1)</definedName>
    <definedName name="col_qx">OFFSET('Pricing Model'!$C$4,0,0,'Pricing Model'!$L$26,1)</definedName>
    <definedName name="col_t">OFFSET('Pricing Model'!$A$4,0,0,'Pricing Model'!$L$26,1)</definedName>
    <definedName name="col_tpx">OFFSET('Pricing Model'!$E$4,0,0,'Pricing Model'!$L$26,1)</definedName>
    <definedName name="Expense_Load">'Pricing Model'!$O$23</definedName>
    <definedName name="FaceAmount">'Pricing Model'!$L$25</definedName>
    <definedName name="Fixed_Expense">'Pricing Model'!$O$22</definedName>
    <definedName name="Gender">'Pricing Model'!$L$23</definedName>
    <definedName name="Gross_Annual_Premium">'Pricing Model'!$L$7</definedName>
    <definedName name="InterestRate">'Pricing Model'!$O$21</definedName>
    <definedName name="IssueAge">'Pricing Model'!$L$22</definedName>
    <definedName name="Profit_Margin">'Pricing Model'!$O$24</definedName>
    <definedName name="Term">'Pricing Model'!$L$26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 a="1"/>
  <c r="G4" i="3" s="1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A4" i="3" l="1" a="1"/>
  <c r="I33" i="3" s="1"/>
  <c r="B4" i="3" a="1"/>
  <c r="B4" i="3" s="1"/>
  <c r="A4" i="3" l="1"/>
  <c r="F4" i="3" a="1"/>
  <c r="F4" i="3" s="1"/>
  <c r="C4" i="3" a="1"/>
  <c r="C4" i="3" l="1"/>
  <c r="H4" i="3" s="1" a="1"/>
  <c r="H4" i="3" s="1"/>
  <c r="D4" i="3" l="1" a="1"/>
  <c r="E5" i="3" l="1" a="1"/>
  <c r="D4" i="3"/>
  <c r="E5" i="3" l="1"/>
  <c r="L10" i="3"/>
  <c r="K10" i="3" l="1"/>
  <c r="K4" i="3"/>
  <c r="K7" i="3" s="1"/>
  <c r="L7" i="3" s="1"/>
  <c r="I5" i="3" l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M7" i="3"/>
  <c r="L4" i="3"/>
  <c r="M4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<sst xmlns="http://schemas.openxmlformats.org/spreadsheetml/2006/main" count="42" uniqueCount="39">
  <si>
    <t>Product Specifications</t>
  </si>
  <si>
    <t>Financial Assumptions</t>
  </si>
  <si>
    <t>Assumption</t>
  </si>
  <si>
    <t xml:space="preserve">Value </t>
  </si>
  <si>
    <t>Gender</t>
  </si>
  <si>
    <t>Target Profit Margin</t>
  </si>
  <si>
    <t>Interest_Rate</t>
  </si>
  <si>
    <t>Expense_Load</t>
  </si>
  <si>
    <t>Product_Type</t>
  </si>
  <si>
    <t>Issue_Age</t>
  </si>
  <si>
    <t>Face_Amount</t>
  </si>
  <si>
    <t>Term_length</t>
  </si>
  <si>
    <t>Level Term</t>
  </si>
  <si>
    <t>x</t>
  </si>
  <si>
    <t>t</t>
  </si>
  <si>
    <t>Net Single Premium</t>
  </si>
  <si>
    <t>Smoking</t>
  </si>
  <si>
    <t>No</t>
  </si>
  <si>
    <r>
      <t>q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</si>
  <si>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</si>
  <si>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t>t</t>
    </r>
    <r>
      <rPr>
        <b/>
        <sz val="11"/>
        <color theme="1"/>
        <rFont val="Aptos Narrow"/>
        <family val="2"/>
        <scheme val="minor"/>
      </rPr>
      <t>p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</si>
  <si>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t>v</t>
    </r>
    <r>
      <rPr>
        <b/>
        <vertAlign val="superscript"/>
        <sz val="11"/>
        <color theme="1"/>
        <rFont val="Aptos Narrow"/>
        <family val="2"/>
        <scheme val="minor"/>
      </rPr>
      <t>t</t>
    </r>
  </si>
  <si>
    <r>
      <t>A</t>
    </r>
    <r>
      <rPr>
        <vertAlign val="superscript"/>
        <sz val="11"/>
        <color theme="1"/>
        <rFont val="Aptos Narrow"/>
        <family val="2"/>
        <scheme val="minor"/>
      </rPr>
      <t>1</t>
    </r>
    <r>
      <rPr>
        <vertAlign val="subscript"/>
        <sz val="11"/>
        <color theme="1"/>
        <rFont val="Aptos Narrow"/>
        <family val="2"/>
        <scheme val="minor"/>
      </rPr>
      <t>x:n</t>
    </r>
  </si>
  <si>
    <r>
      <rPr>
        <vertAlign val="superscript"/>
        <sz val="11"/>
        <color theme="1"/>
        <rFont val="Aptos Narrow"/>
        <family val="2"/>
        <scheme val="minor"/>
      </rPr>
      <t>..</t>
    </r>
    <r>
      <rPr>
        <sz val="11"/>
        <color theme="1"/>
        <rFont val="Aptos Narrow"/>
        <family val="2"/>
        <scheme val="minor"/>
      </rPr>
      <t>a</t>
    </r>
    <r>
      <rPr>
        <vertAlign val="subscript"/>
        <sz val="11"/>
        <color theme="1"/>
        <rFont val="Aptos Narrow"/>
        <family val="2"/>
        <scheme val="minor"/>
      </rPr>
      <t>x:n</t>
    </r>
  </si>
  <si>
    <r>
      <t>v</t>
    </r>
    <r>
      <rPr>
        <b/>
        <vertAlign val="superscript"/>
        <sz val="11"/>
        <color theme="1"/>
        <rFont val="Aptos Narrow"/>
        <family val="2"/>
        <scheme val="minor"/>
      </rPr>
      <t xml:space="preserve">t </t>
    </r>
    <r>
      <rPr>
        <b/>
        <sz val="11"/>
        <color theme="1"/>
        <rFont val="Aptos Narrow"/>
        <family val="2"/>
        <scheme val="minor"/>
      </rPr>
      <t xml:space="preserve">* </t>
    </r>
    <r>
      <rPr>
        <b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p</t>
    </r>
    <r>
      <rPr>
        <b/>
        <vertAlign val="subscript"/>
        <sz val="11"/>
        <color theme="1"/>
        <rFont val="Aptos Narrow"/>
        <family val="2"/>
        <scheme val="minor"/>
      </rPr>
      <t>x</t>
    </r>
    <r>
      <rPr>
        <b/>
        <sz val="11"/>
        <color theme="1"/>
        <rFont val="Aptos Narrow"/>
        <family val="2"/>
        <scheme val="minor"/>
      </rPr>
      <t xml:space="preserve"> - Annuity</t>
    </r>
  </si>
  <si>
    <r>
      <t>v</t>
    </r>
    <r>
      <rPr>
        <b/>
        <vertAlign val="superscript"/>
        <sz val="11"/>
        <color theme="1"/>
        <rFont val="Aptos Narrow"/>
        <family val="2"/>
        <scheme val="minor"/>
      </rPr>
      <t>t+1</t>
    </r>
    <r>
      <rPr>
        <b/>
        <sz val="11"/>
        <color theme="1"/>
        <rFont val="Aptos Narrow"/>
        <family val="2"/>
        <scheme val="minor"/>
      </rPr>
      <t xml:space="preserve"> * </t>
    </r>
    <r>
      <rPr>
        <b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p</t>
    </r>
    <r>
      <rPr>
        <b/>
        <vertAlign val="subscript"/>
        <sz val="11"/>
        <color theme="1"/>
        <rFont val="Aptos Narrow"/>
        <family val="2"/>
        <scheme val="minor"/>
      </rPr>
      <t>x</t>
    </r>
    <r>
      <rPr>
        <b/>
        <sz val="11"/>
        <color theme="1"/>
        <rFont val="Aptos Narrow"/>
        <family val="2"/>
        <scheme val="minor"/>
      </rPr>
      <t>*q</t>
    </r>
    <r>
      <rPr>
        <b/>
        <vertAlign val="subscript"/>
        <sz val="11"/>
        <color theme="1"/>
        <rFont val="Aptos Narrow"/>
        <family val="2"/>
        <scheme val="minor"/>
      </rPr>
      <t>x+t</t>
    </r>
    <r>
      <rPr>
        <b/>
        <sz val="11"/>
        <color theme="1"/>
        <rFont val="Aptos Narrow"/>
        <family val="2"/>
        <scheme val="minor"/>
      </rPr>
      <t xml:space="preserve"> -  EPVDeath</t>
    </r>
  </si>
  <si>
    <t>Iss. Age</t>
  </si>
  <si>
    <t>Ult.</t>
  </si>
  <si>
    <t>Att. Age</t>
  </si>
  <si>
    <t>Column1</t>
  </si>
  <si>
    <r>
      <t>V</t>
    </r>
    <r>
      <rPr>
        <vertAlign val="subscript"/>
        <sz val="11"/>
        <color theme="1"/>
        <rFont val="Aptos Narrow"/>
        <family val="2"/>
        <scheme val="minor"/>
      </rPr>
      <t>t</t>
    </r>
  </si>
  <si>
    <t>Fixed_Expense</t>
  </si>
  <si>
    <t>Gross Single Premium</t>
  </si>
  <si>
    <t>Net Annual Premium</t>
  </si>
  <si>
    <t>Net Monthly Premium</t>
  </si>
  <si>
    <t>Gross Annual Premium</t>
  </si>
  <si>
    <t>Gross Monthly Premium</t>
  </si>
  <si>
    <t>Term Life Insurance Pricing Model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</si>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</sst>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0.000"/>
    <numFmt numFmtId="165" formatCode="0.000000"/>
    <numFmt numFmtId="166" formatCode="0.0000000"/>
    <numFmt numFmtId="167" formatCode="&quot;$&quot;#,##0.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name val="Arial"/>
      <family val="2"/>
    </font>
    <font>
      <sz val="11"/>
      <name val="CG Times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/>
  </cellStyleXfs>
  <cellXfs count="8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4" xfId="0" applyBorder="1" applyAlignment="1">
      <alignment horizontal="left"/>
    </xf>
    <xf numFmtId="6" fontId="0" fillId="0" borderId="4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9" fontId="0" fillId="0" borderId="2" xfId="1" applyFont="1" applyBorder="1" applyAlignment="1">
      <alignment horizontal="left"/>
    </xf>
    <xf numFmtId="9" fontId="0" fillId="0" borderId="4" xfId="1" applyFont="1" applyBorder="1" applyAlignment="1">
      <alignment horizontal="left"/>
    </xf>
    <xf numFmtId="9" fontId="0" fillId="0" borderId="6" xfId="1" applyFont="1" applyBorder="1" applyAlignment="1">
      <alignment horizontal="left"/>
    </xf>
    <xf numFmtId="9" fontId="0" fillId="0" borderId="0" xfId="1" applyFont="1"/>
    <xf numFmtId="0" fontId="3" fillId="0" borderId="0" xfId="0" applyFon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4" fillId="3" borderId="11" xfId="0" applyFont="1" applyFill="1" applyBorder="1"/>
    <xf numFmtId="0" fontId="4" fillId="3" borderId="12" xfId="0" applyFont="1" applyFill="1" applyBorder="1"/>
    <xf numFmtId="9" fontId="4" fillId="3" borderId="12" xfId="1" applyFont="1" applyFill="1" applyBorder="1"/>
    <xf numFmtId="1" fontId="0" fillId="0" borderId="6" xfId="0" applyNumberFormat="1" applyBorder="1" applyAlignment="1">
      <alignment horizontal="left"/>
    </xf>
    <xf numFmtId="0" fontId="0" fillId="2" borderId="9" xfId="0" applyFill="1" applyBorder="1" applyAlignment="1">
      <alignment horizontal="left"/>
    </xf>
    <xf numFmtId="165" fontId="0" fillId="2" borderId="9" xfId="0" applyNumberFormat="1" applyFill="1" applyBorder="1" applyAlignment="1">
      <alignment horizontal="left"/>
    </xf>
    <xf numFmtId="0" fontId="0" fillId="0" borderId="9" xfId="0" applyBorder="1" applyAlignment="1">
      <alignment horizontal="left"/>
    </xf>
    <xf numFmtId="165" fontId="0" fillId="0" borderId="9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2" borderId="9" xfId="0" applyNumberFormat="1" applyFill="1" applyBorder="1" applyAlignment="1">
      <alignment horizontal="left"/>
    </xf>
    <xf numFmtId="166" fontId="0" fillId="2" borderId="9" xfId="0" applyNumberFormat="1" applyFill="1" applyBorder="1" applyAlignment="1">
      <alignment horizontal="left"/>
    </xf>
    <xf numFmtId="164" fontId="0" fillId="0" borderId="9" xfId="0" applyNumberFormat="1" applyBorder="1" applyAlignment="1">
      <alignment horizontal="left"/>
    </xf>
    <xf numFmtId="166" fontId="0" fillId="0" borderId="9" xfId="0" applyNumberFormat="1" applyBorder="1" applyAlignment="1">
      <alignment horizontal="left"/>
    </xf>
    <xf numFmtId="0" fontId="0" fillId="2" borderId="10" xfId="0" applyFill="1" applyBorder="1" applyAlignment="1">
      <alignment horizontal="left"/>
    </xf>
    <xf numFmtId="165" fontId="0" fillId="2" borderId="10" xfId="0" applyNumberFormat="1" applyFill="1" applyBorder="1" applyAlignment="1">
      <alignment horizontal="left"/>
    </xf>
    <xf numFmtId="164" fontId="0" fillId="2" borderId="10" xfId="0" applyNumberFormat="1" applyFill="1" applyBorder="1" applyAlignment="1">
      <alignment horizontal="left"/>
    </xf>
    <xf numFmtId="166" fontId="0" fillId="2" borderId="10" xfId="0" applyNumberFormat="1" applyFill="1" applyBorder="1" applyAlignment="1">
      <alignment horizontal="left"/>
    </xf>
    <xf numFmtId="165" fontId="0" fillId="0" borderId="10" xfId="0" applyNumberFormat="1" applyBorder="1" applyAlignment="1">
      <alignment horizontal="left"/>
    </xf>
    <xf numFmtId="164" fontId="2" fillId="3" borderId="9" xfId="0" applyNumberFormat="1" applyFont="1" applyFill="1" applyBorder="1" applyAlignment="1">
      <alignment horizontal="left"/>
    </xf>
    <xf numFmtId="166" fontId="2" fillId="3" borderId="9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165" fontId="2" fillId="3" borderId="7" xfId="0" applyNumberFormat="1" applyFont="1" applyFill="1" applyBorder="1" applyAlignment="1">
      <alignment horizontal="left"/>
    </xf>
    <xf numFmtId="0" fontId="8" fillId="3" borderId="7" xfId="0" applyFont="1" applyFill="1" applyBorder="1" applyAlignment="1">
      <alignment horizontal="left"/>
    </xf>
    <xf numFmtId="164" fontId="2" fillId="3" borderId="7" xfId="0" applyNumberFormat="1" applyFont="1" applyFill="1" applyBorder="1" applyAlignment="1">
      <alignment horizontal="left"/>
    </xf>
    <xf numFmtId="166" fontId="2" fillId="3" borderId="7" xfId="0" applyNumberFormat="1" applyFont="1" applyFill="1" applyBorder="1" applyAlignment="1">
      <alignment horizontal="left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10" fillId="0" borderId="0" xfId="0" applyFont="1" applyAlignment="1">
      <alignment vertical="center"/>
    </xf>
    <xf numFmtId="2" fontId="0" fillId="0" borderId="8" xfId="0" applyNumberFormat="1" applyBorder="1" applyAlignment="1">
      <alignment horizontal="right"/>
    </xf>
    <xf numFmtId="2" fontId="11" fillId="0" borderId="14" xfId="3" applyNumberFormat="1" applyFont="1" applyBorder="1" applyAlignment="1">
      <alignment horizontal="right"/>
    </xf>
    <xf numFmtId="0" fontId="10" fillId="0" borderId="0" xfId="0" applyFont="1"/>
    <xf numFmtId="0" fontId="2" fillId="0" borderId="17" xfId="0" applyFont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6" xfId="0" applyNumberFormat="1" applyFill="1" applyBorder="1" applyAlignment="1">
      <alignment horizontal="right"/>
    </xf>
    <xf numFmtId="2" fontId="0" fillId="2" borderId="18" xfId="0" applyNumberFormat="1" applyFill="1" applyBorder="1" applyAlignment="1">
      <alignment horizontal="right"/>
    </xf>
    <xf numFmtId="1" fontId="0" fillId="2" borderId="1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14" xfId="0" applyNumberFormat="1" applyBorder="1" applyAlignment="1">
      <alignment horizontal="right"/>
    </xf>
    <xf numFmtId="1" fontId="0" fillId="0" borderId="14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2" fontId="0" fillId="2" borderId="14" xfId="0" applyNumberFormat="1" applyFill="1" applyBorder="1" applyAlignment="1">
      <alignment horizontal="right"/>
    </xf>
    <xf numFmtId="2" fontId="0" fillId="2" borderId="0" xfId="0" applyNumberFormat="1" applyFill="1" applyAlignment="1">
      <alignment horizontal="right"/>
    </xf>
    <xf numFmtId="1" fontId="0" fillId="2" borderId="14" xfId="0" applyNumberFormat="1" applyFill="1" applyBorder="1" applyAlignment="1">
      <alignment horizontal="center"/>
    </xf>
    <xf numFmtId="2" fontId="11" fillId="2" borderId="14" xfId="3" applyNumberFormat="1" applyFont="1" applyFill="1" applyBorder="1" applyAlignment="1">
      <alignment horizontal="right"/>
    </xf>
    <xf numFmtId="2" fontId="0" fillId="0" borderId="6" xfId="0" applyNumberFormat="1" applyBorder="1" applyAlignment="1">
      <alignment horizontal="right"/>
    </xf>
    <xf numFmtId="0" fontId="0" fillId="0" borderId="16" xfId="0" applyBorder="1" applyAlignment="1">
      <alignment horizontal="center"/>
    </xf>
    <xf numFmtId="2" fontId="11" fillId="0" borderId="2" xfId="3" applyNumberFormat="1" applyFont="1" applyBorder="1" applyAlignment="1">
      <alignment horizontal="right"/>
    </xf>
    <xf numFmtId="2" fontId="0" fillId="0" borderId="20" xfId="0" applyNumberFormat="1" applyBorder="1" applyAlignment="1">
      <alignment horizontal="right"/>
    </xf>
    <xf numFmtId="2" fontId="0" fillId="0" borderId="16" xfId="0" applyNumberFormat="1" applyBorder="1" applyAlignment="1">
      <alignment horizontal="right"/>
    </xf>
    <xf numFmtId="1" fontId="0" fillId="0" borderId="21" xfId="0" applyNumberFormat="1" applyBorder="1" applyAlignment="1">
      <alignment horizontal="center"/>
    </xf>
    <xf numFmtId="2" fontId="0" fillId="2" borderId="13" xfId="0" applyNumberFormat="1" applyFill="1" applyBorder="1" applyAlignment="1">
      <alignment horizontal="right"/>
    </xf>
    <xf numFmtId="2" fontId="0" fillId="0" borderId="22" xfId="0" applyNumberFormat="1" applyBorder="1" applyAlignment="1">
      <alignment horizontal="right"/>
    </xf>
    <xf numFmtId="2" fontId="0" fillId="2" borderId="22" xfId="0" applyNumberFormat="1" applyFill="1" applyBorder="1" applyAlignment="1">
      <alignment horizontal="right"/>
    </xf>
    <xf numFmtId="2" fontId="0" fillId="2" borderId="8" xfId="0" applyNumberFormat="1" applyFill="1" applyBorder="1" applyAlignment="1">
      <alignment horizontal="right"/>
    </xf>
    <xf numFmtId="2" fontId="0" fillId="2" borderId="8" xfId="0" applyNumberFormat="1" applyFill="1" applyBorder="1"/>
    <xf numFmtId="2" fontId="0" fillId="0" borderId="8" xfId="0" applyNumberFormat="1" applyBorder="1"/>
    <xf numFmtId="2" fontId="0" fillId="2" borderId="0" xfId="0" applyNumberFormat="1" applyFill="1"/>
    <xf numFmtId="2" fontId="0" fillId="2" borderId="6" xfId="0" applyNumberFormat="1" applyFill="1" applyBorder="1"/>
    <xf numFmtId="2" fontId="0" fillId="0" borderId="14" xfId="0" applyNumberFormat="1" applyBorder="1"/>
    <xf numFmtId="2" fontId="0" fillId="2" borderId="14" xfId="0" applyNumberFormat="1" applyFill="1" applyBorder="1"/>
    <xf numFmtId="2" fontId="0" fillId="0" borderId="6" xfId="0" applyNumberFormat="1" applyBorder="1"/>
    <xf numFmtId="2" fontId="0" fillId="0" borderId="2" xfId="0" applyNumberFormat="1" applyBorder="1" applyAlignment="1">
      <alignment horizontal="right"/>
    </xf>
    <xf numFmtId="2" fontId="0" fillId="0" borderId="20" xfId="0" applyNumberFormat="1" applyBorder="1"/>
    <xf numFmtId="2" fontId="0" fillId="0" borderId="16" xfId="0" applyNumberFormat="1" applyBorder="1"/>
    <xf numFmtId="2" fontId="0" fillId="0" borderId="15" xfId="0" applyNumberFormat="1" applyBorder="1" applyAlignment="1">
      <alignment horizontal="right"/>
    </xf>
    <xf numFmtId="2" fontId="2" fillId="0" borderId="17" xfId="0" applyNumberFormat="1" applyFont="1" applyBorder="1" applyAlignment="1">
      <alignment horizontal="center"/>
    </xf>
    <xf numFmtId="167" fontId="0" fillId="0" borderId="4" xfId="1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2" fontId="0" fillId="0" borderId="10" xfId="0" applyNumberFormat="1" applyBorder="1" applyAlignment="1">
      <alignment horizontal="left"/>
    </xf>
    <xf numFmtId="0" fontId="5" fillId="0" borderId="0" xfId="0" applyFont="1" applyAlignment="1">
      <alignment horizontal="left"/>
    </xf>
    <xf numFmtId="0" fontId="13" fillId="2" borderId="9" xfId="0" applyFont="1" applyFill="1" applyBorder="1" applyAlignment="1">
      <alignment horizontal="left"/>
    </xf>
    <xf numFmtId="0" fontId="13" fillId="0" borderId="0" xfId="0" applyFont="1" applyAlignment="1">
      <alignment horizontal="left"/>
    </xf>
  </cellXfs>
  <cellStyles count="4">
    <cellStyle name="Normal" xfId="0" builtinId="0"/>
    <cellStyle name="Normal 2" xfId="2" xr:uid="{95E83E24-F149-47CC-BE70-81A45F2A20D9}"/>
    <cellStyle name="Normal_Mortality Rates" xfId="3" xr:uid="{911E2C30-F6F1-40EC-842E-A496D9C1E8EA}"/>
    <cellStyle name="Percent" xfId="1" builtinId="5"/>
  </cellStyles>
  <dxfs count="23">
    <dxf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2" tint="-9.9948118533890809E-2"/>
        </patternFill>
      </fill>
    </dxf>
    <dxf>
      <fill>
        <patternFill>
          <bgColor theme="0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479246-9C9D-4301-B7DE-E365677ECCC8}" name="Table2" displayName="Table2" ref="K20:L26" totalsRowShown="0" headerRowDxfId="22" headerRowBorderDxfId="21" tableBorderDxfId="20" totalsRowBorderDxfId="19">
  <autoFilter ref="K20:L26" xr:uid="{C9479246-9C9D-4301-B7DE-E365677ECCC8}"/>
  <tableColumns count="2">
    <tableColumn id="1" xr3:uid="{F8308A94-C9DB-47E8-92B0-54A02CCBC3E0}" name="Assumption" dataDxfId="18"/>
    <tableColumn id="2" xr3:uid="{3232C321-DE8D-487C-9827-558CABD075BB}" name="Value " dataDxf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EC3940-AC44-41B4-829F-2F665FBD0EE8}" name="Table24" displayName="Table24" ref="N20:O24" totalsRowShown="0" headerRowDxfId="16" headerRowBorderDxfId="15" tableBorderDxfId="14" totalsRowBorderDxfId="13">
  <autoFilter ref="N20:O24" xr:uid="{2DEC3940-AC44-41B4-829F-2F665FBD0EE8}"/>
  <tableColumns count="2">
    <tableColumn id="1" xr3:uid="{699BE966-A287-4768-B4F4-FED45C3C1EDC}" name="Assumption" dataDxfId="12"/>
    <tableColumn id="2" xr3:uid="{C5CB0CB7-B77E-4715-A548-BE7DD07D1291}" name="Value " dataDxfId="11" dataCellStyle="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4B4B-D9C3-4A59-ADC5-616309676DB8}">
  <dimension ref="A1:AB79"/>
  <sheetViews>
    <sheetView zoomScale="70" zoomScaleNormal="70" workbookViewId="0">
      <selection activeCell="E22" sqref="E22"/>
    </sheetView>
  </sheetViews>
  <sheetFormatPr defaultRowHeight="15"/>
  <cols>
    <col min="1" max="1" width="11.140625" customWidth="1"/>
    <col min="28" max="28" width="11.42578125" customWidth="1"/>
  </cols>
  <sheetData>
    <row r="1" spans="1:28">
      <c r="A1" s="47" t="s">
        <v>29</v>
      </c>
      <c r="B1" s="81">
        <v>1</v>
      </c>
      <c r="C1" s="47">
        <v>2</v>
      </c>
      <c r="D1" s="47">
        <v>3</v>
      </c>
      <c r="E1" s="47">
        <v>4</v>
      </c>
      <c r="F1" s="47">
        <v>5</v>
      </c>
      <c r="G1" s="47">
        <v>6</v>
      </c>
      <c r="H1" s="47">
        <v>7</v>
      </c>
      <c r="I1" s="47">
        <v>8</v>
      </c>
      <c r="J1" s="47">
        <v>9</v>
      </c>
      <c r="K1" s="47">
        <v>10</v>
      </c>
      <c r="L1" s="47">
        <v>11</v>
      </c>
      <c r="M1" s="47">
        <v>12</v>
      </c>
      <c r="N1" s="47">
        <v>13</v>
      </c>
      <c r="O1" s="47">
        <v>14</v>
      </c>
      <c r="P1" s="47">
        <v>15</v>
      </c>
      <c r="Q1" s="47">
        <v>16</v>
      </c>
      <c r="R1" s="47">
        <v>17</v>
      </c>
      <c r="S1" s="47">
        <v>18</v>
      </c>
      <c r="T1" s="47">
        <v>19</v>
      </c>
      <c r="U1" s="47">
        <v>20</v>
      </c>
      <c r="V1" s="47">
        <v>21</v>
      </c>
      <c r="W1" s="47">
        <v>22</v>
      </c>
      <c r="X1" s="47">
        <v>23</v>
      </c>
      <c r="Y1" s="47">
        <v>24</v>
      </c>
      <c r="Z1" s="47">
        <v>25</v>
      </c>
      <c r="AA1" s="47" t="s">
        <v>27</v>
      </c>
      <c r="AB1" s="47" t="s">
        <v>28</v>
      </c>
    </row>
    <row r="2" spans="1:28">
      <c r="A2" s="48">
        <v>18</v>
      </c>
      <c r="B2" s="49">
        <v>0.27</v>
      </c>
      <c r="C2" s="50">
        <v>0.27</v>
      </c>
      <c r="D2" s="50">
        <v>0.27</v>
      </c>
      <c r="E2" s="50">
        <v>0.27</v>
      </c>
      <c r="F2" s="50">
        <v>0.27</v>
      </c>
      <c r="G2" s="50">
        <v>0.27</v>
      </c>
      <c r="H2" s="50">
        <v>0.28000000000000003</v>
      </c>
      <c r="I2" s="50">
        <v>0.28000000000000003</v>
      </c>
      <c r="J2" s="50">
        <v>0.28000000000000003</v>
      </c>
      <c r="K2" s="50">
        <v>0.28999999999999998</v>
      </c>
      <c r="L2" s="50">
        <v>0.31</v>
      </c>
      <c r="M2" s="50">
        <v>0.33</v>
      </c>
      <c r="N2" s="50">
        <v>0.34</v>
      </c>
      <c r="O2" s="50">
        <v>0.36</v>
      </c>
      <c r="P2" s="50">
        <v>0.4</v>
      </c>
      <c r="Q2" s="50">
        <v>0.46</v>
      </c>
      <c r="R2" s="50">
        <v>0.52</v>
      </c>
      <c r="S2" s="50">
        <v>0.59</v>
      </c>
      <c r="T2" s="50">
        <v>0.67</v>
      </c>
      <c r="U2" s="50">
        <v>0.75</v>
      </c>
      <c r="V2" s="49">
        <v>0.82</v>
      </c>
      <c r="W2" s="50">
        <v>0.85</v>
      </c>
      <c r="X2" s="50">
        <v>0.86</v>
      </c>
      <c r="Y2" s="50">
        <v>0.87</v>
      </c>
      <c r="Z2" s="50">
        <v>0.87</v>
      </c>
      <c r="AA2" s="50">
        <v>0.88</v>
      </c>
      <c r="AB2" s="51">
        <v>43</v>
      </c>
    </row>
    <row r="3" spans="1:28">
      <c r="A3" s="52">
        <v>19</v>
      </c>
      <c r="B3" s="53">
        <v>0.27</v>
      </c>
      <c r="C3" s="41">
        <v>0.27</v>
      </c>
      <c r="D3" s="41">
        <v>0.26</v>
      </c>
      <c r="E3" s="41">
        <v>0.26</v>
      </c>
      <c r="F3" s="41">
        <v>0.26</v>
      </c>
      <c r="G3" s="41">
        <v>0.26</v>
      </c>
      <c r="H3" s="41">
        <v>0.25</v>
      </c>
      <c r="I3" s="41">
        <v>0.25</v>
      </c>
      <c r="J3" s="41">
        <v>0.26</v>
      </c>
      <c r="K3" s="41">
        <v>0.28000000000000003</v>
      </c>
      <c r="L3" s="41">
        <v>0.3</v>
      </c>
      <c r="M3" s="41">
        <v>0.32</v>
      </c>
      <c r="N3" s="41">
        <v>0.33</v>
      </c>
      <c r="O3" s="41">
        <v>0.36</v>
      </c>
      <c r="P3" s="41">
        <v>0.4</v>
      </c>
      <c r="Q3" s="41">
        <v>0.47</v>
      </c>
      <c r="R3" s="41">
        <v>0.56000000000000005</v>
      </c>
      <c r="S3" s="41">
        <v>0.65</v>
      </c>
      <c r="T3" s="41">
        <v>0.73</v>
      </c>
      <c r="U3" s="41">
        <v>0.8</v>
      </c>
      <c r="V3" s="53">
        <v>0.85</v>
      </c>
      <c r="W3" s="41">
        <v>0.86</v>
      </c>
      <c r="X3" s="41">
        <v>0.87</v>
      </c>
      <c r="Y3" s="41">
        <v>0.87</v>
      </c>
      <c r="Z3" s="41">
        <v>0.88</v>
      </c>
      <c r="AA3" s="41">
        <v>0.88</v>
      </c>
      <c r="AB3" s="54">
        <v>44</v>
      </c>
    </row>
    <row r="4" spans="1:28">
      <c r="A4" s="55">
        <v>20</v>
      </c>
      <c r="B4" s="56">
        <v>0.24</v>
      </c>
      <c r="C4" s="57">
        <v>0.23</v>
      </c>
      <c r="D4" s="57">
        <v>0.24</v>
      </c>
      <c r="E4" s="57">
        <v>0.25</v>
      </c>
      <c r="F4" s="57">
        <v>0.25</v>
      </c>
      <c r="G4" s="57">
        <v>0.24</v>
      </c>
      <c r="H4" s="57">
        <v>0.23</v>
      </c>
      <c r="I4" s="57">
        <v>0.23</v>
      </c>
      <c r="J4" s="57">
        <v>0.25</v>
      </c>
      <c r="K4" s="57">
        <v>0.28000000000000003</v>
      </c>
      <c r="L4" s="57">
        <v>0.3</v>
      </c>
      <c r="M4" s="57">
        <v>0.32</v>
      </c>
      <c r="N4" s="57">
        <v>0.33</v>
      </c>
      <c r="O4" s="57">
        <v>0.36</v>
      </c>
      <c r="P4" s="57">
        <v>0.42</v>
      </c>
      <c r="Q4" s="57">
        <v>0.5</v>
      </c>
      <c r="R4" s="57">
        <v>0.59</v>
      </c>
      <c r="S4" s="57">
        <v>0.68</v>
      </c>
      <c r="T4" s="57">
        <v>0.76</v>
      </c>
      <c r="U4" s="57">
        <v>0.82</v>
      </c>
      <c r="V4" s="56">
        <v>0.86</v>
      </c>
      <c r="W4" s="57">
        <v>0.87</v>
      </c>
      <c r="X4" s="57">
        <v>0.87</v>
      </c>
      <c r="Y4" s="57">
        <v>0.88</v>
      </c>
      <c r="Z4" s="57">
        <v>0.88</v>
      </c>
      <c r="AA4" s="57">
        <v>0.89</v>
      </c>
      <c r="AB4" s="58">
        <v>45</v>
      </c>
    </row>
    <row r="5" spans="1:28">
      <c r="A5" s="52">
        <v>21</v>
      </c>
      <c r="B5" s="53">
        <v>0.19</v>
      </c>
      <c r="C5" s="41">
        <v>0.21</v>
      </c>
      <c r="D5" s="41">
        <v>0.23</v>
      </c>
      <c r="E5" s="41">
        <v>0.23</v>
      </c>
      <c r="F5" s="41">
        <v>0.22</v>
      </c>
      <c r="G5" s="41">
        <v>0.21</v>
      </c>
      <c r="H5" s="41">
        <v>0.21</v>
      </c>
      <c r="I5" s="41">
        <v>0.23</v>
      </c>
      <c r="J5" s="41">
        <v>0.26</v>
      </c>
      <c r="K5" s="41">
        <v>0.28999999999999998</v>
      </c>
      <c r="L5" s="41">
        <v>0.3</v>
      </c>
      <c r="M5" s="41">
        <v>0.31</v>
      </c>
      <c r="N5" s="41">
        <v>0.33</v>
      </c>
      <c r="O5" s="41">
        <v>0.37</v>
      </c>
      <c r="P5" s="41">
        <v>0.44</v>
      </c>
      <c r="Q5" s="41">
        <v>0.52</v>
      </c>
      <c r="R5" s="41">
        <v>0.61</v>
      </c>
      <c r="S5" s="41">
        <v>0.69</v>
      </c>
      <c r="T5" s="41">
        <v>0.77</v>
      </c>
      <c r="U5" s="41">
        <v>0.83</v>
      </c>
      <c r="V5" s="53">
        <v>0.87</v>
      </c>
      <c r="W5" s="41">
        <v>0.87</v>
      </c>
      <c r="X5" s="41">
        <v>0.88</v>
      </c>
      <c r="Y5" s="41">
        <v>0.88</v>
      </c>
      <c r="Z5" s="41">
        <v>0.89</v>
      </c>
      <c r="AA5" s="41">
        <v>0.92</v>
      </c>
      <c r="AB5" s="54">
        <v>46</v>
      </c>
    </row>
    <row r="6" spans="1:28">
      <c r="A6" s="55">
        <v>22</v>
      </c>
      <c r="B6" s="56">
        <v>0.16</v>
      </c>
      <c r="C6" s="57">
        <v>0.2</v>
      </c>
      <c r="D6" s="57">
        <v>0.21</v>
      </c>
      <c r="E6" s="57">
        <v>0.2</v>
      </c>
      <c r="F6" s="57">
        <v>0.19</v>
      </c>
      <c r="G6" s="57">
        <v>0.19</v>
      </c>
      <c r="H6" s="57">
        <v>0.21</v>
      </c>
      <c r="I6" s="57">
        <v>0.23</v>
      </c>
      <c r="J6" s="57">
        <v>0.27</v>
      </c>
      <c r="K6" s="57">
        <v>0.28999999999999998</v>
      </c>
      <c r="L6" s="57">
        <v>0.3</v>
      </c>
      <c r="M6" s="57">
        <v>0.31</v>
      </c>
      <c r="N6" s="57">
        <v>0.34</v>
      </c>
      <c r="O6" s="57">
        <v>0.39</v>
      </c>
      <c r="P6" s="57">
        <v>0.47</v>
      </c>
      <c r="Q6" s="57">
        <v>0.55000000000000004</v>
      </c>
      <c r="R6" s="57">
        <v>0.62</v>
      </c>
      <c r="S6" s="57">
        <v>0.7</v>
      </c>
      <c r="T6" s="57">
        <v>0.78</v>
      </c>
      <c r="U6" s="57">
        <v>0.84</v>
      </c>
      <c r="V6" s="56">
        <v>0.87</v>
      </c>
      <c r="W6" s="57">
        <v>0.88</v>
      </c>
      <c r="X6" s="57">
        <v>0.88</v>
      </c>
      <c r="Y6" s="57">
        <v>0.89</v>
      </c>
      <c r="Z6" s="57">
        <v>0.92</v>
      </c>
      <c r="AA6" s="57">
        <v>0.96</v>
      </c>
      <c r="AB6" s="58">
        <v>47</v>
      </c>
    </row>
    <row r="7" spans="1:28">
      <c r="A7" s="52">
        <v>23</v>
      </c>
      <c r="B7" s="53">
        <v>0.15</v>
      </c>
      <c r="C7" s="41">
        <v>0.19</v>
      </c>
      <c r="D7" s="41">
        <v>0.19</v>
      </c>
      <c r="E7" s="41">
        <v>0.18</v>
      </c>
      <c r="F7" s="41">
        <v>0.18</v>
      </c>
      <c r="G7" s="41">
        <v>0.19</v>
      </c>
      <c r="H7" s="41">
        <v>0.21</v>
      </c>
      <c r="I7" s="41">
        <v>0.24</v>
      </c>
      <c r="J7" s="41">
        <v>0.27</v>
      </c>
      <c r="K7" s="41">
        <v>0.28999999999999998</v>
      </c>
      <c r="L7" s="41">
        <v>0.3</v>
      </c>
      <c r="M7" s="41">
        <v>0.32</v>
      </c>
      <c r="N7" s="41">
        <v>0.36</v>
      </c>
      <c r="O7" s="41">
        <v>0.42</v>
      </c>
      <c r="P7" s="41">
        <v>0.5</v>
      </c>
      <c r="Q7" s="41">
        <v>0.57999999999999996</v>
      </c>
      <c r="R7" s="41">
        <v>0.64</v>
      </c>
      <c r="S7" s="41">
        <v>0.7</v>
      </c>
      <c r="T7" s="41">
        <v>0.78</v>
      </c>
      <c r="U7" s="41">
        <v>0.84</v>
      </c>
      <c r="V7" s="53">
        <v>0.88</v>
      </c>
      <c r="W7" s="41">
        <v>0.88</v>
      </c>
      <c r="X7" s="41">
        <v>0.89</v>
      </c>
      <c r="Y7" s="41">
        <v>0.92</v>
      </c>
      <c r="Z7" s="41">
        <v>0.96</v>
      </c>
      <c r="AA7" s="41">
        <v>1.01</v>
      </c>
      <c r="AB7" s="54">
        <v>48</v>
      </c>
    </row>
    <row r="8" spans="1:28">
      <c r="A8" s="55">
        <v>24</v>
      </c>
      <c r="B8" s="56">
        <v>0.13</v>
      </c>
      <c r="C8" s="57">
        <v>0.16</v>
      </c>
      <c r="D8" s="57">
        <v>0.16</v>
      </c>
      <c r="E8" s="57">
        <v>0.16</v>
      </c>
      <c r="F8" s="57">
        <v>0.17</v>
      </c>
      <c r="G8" s="57">
        <v>0.19</v>
      </c>
      <c r="H8" s="57">
        <v>0.22</v>
      </c>
      <c r="I8" s="57">
        <v>0.25</v>
      </c>
      <c r="J8" s="57">
        <v>0.28000000000000003</v>
      </c>
      <c r="K8" s="57">
        <v>0.3</v>
      </c>
      <c r="L8" s="57">
        <v>0.32</v>
      </c>
      <c r="M8" s="57">
        <v>0.34</v>
      </c>
      <c r="N8" s="57">
        <v>0.39</v>
      </c>
      <c r="O8" s="57">
        <v>0.47</v>
      </c>
      <c r="P8" s="57">
        <v>0.54</v>
      </c>
      <c r="Q8" s="57">
        <v>0.6</v>
      </c>
      <c r="R8" s="57">
        <v>0.64</v>
      </c>
      <c r="S8" s="57">
        <v>0.71</v>
      </c>
      <c r="T8" s="57">
        <v>0.78</v>
      </c>
      <c r="U8" s="57">
        <v>0.84</v>
      </c>
      <c r="V8" s="56">
        <v>0.88</v>
      </c>
      <c r="W8" s="57">
        <v>0.89</v>
      </c>
      <c r="X8" s="57">
        <v>0.92</v>
      </c>
      <c r="Y8" s="57">
        <v>0.96</v>
      </c>
      <c r="Z8" s="57">
        <v>1.01</v>
      </c>
      <c r="AA8" s="57">
        <v>1.0900000000000001</v>
      </c>
      <c r="AB8" s="58">
        <v>49</v>
      </c>
    </row>
    <row r="9" spans="1:28">
      <c r="A9" s="52">
        <v>25</v>
      </c>
      <c r="B9" s="53">
        <v>0.11</v>
      </c>
      <c r="C9" s="41">
        <v>0.14000000000000001</v>
      </c>
      <c r="D9" s="41">
        <v>0.15</v>
      </c>
      <c r="E9" s="41">
        <v>0.15</v>
      </c>
      <c r="F9" s="41">
        <v>0.17</v>
      </c>
      <c r="G9" s="41">
        <v>0.2</v>
      </c>
      <c r="H9" s="41">
        <v>0.22</v>
      </c>
      <c r="I9" s="41">
        <v>0.26</v>
      </c>
      <c r="J9" s="41">
        <v>0.28999999999999998</v>
      </c>
      <c r="K9" s="41">
        <v>0.31</v>
      </c>
      <c r="L9" s="41">
        <v>0.34</v>
      </c>
      <c r="M9" s="41">
        <v>0.37</v>
      </c>
      <c r="N9" s="41">
        <v>0.44</v>
      </c>
      <c r="O9" s="41">
        <v>0.51</v>
      </c>
      <c r="P9" s="41">
        <v>0.56999999999999995</v>
      </c>
      <c r="Q9" s="41">
        <v>0.61</v>
      </c>
      <c r="R9" s="41">
        <v>0.66</v>
      </c>
      <c r="S9" s="41">
        <v>0.72</v>
      </c>
      <c r="T9" s="41">
        <v>0.79</v>
      </c>
      <c r="U9" s="41">
        <v>0.84</v>
      </c>
      <c r="V9" s="53">
        <v>0.89</v>
      </c>
      <c r="W9" s="41">
        <v>0.92</v>
      </c>
      <c r="X9" s="41">
        <v>0.96</v>
      </c>
      <c r="Y9" s="41">
        <v>1.01</v>
      </c>
      <c r="Z9" s="41">
        <v>1.0900000000000001</v>
      </c>
      <c r="AA9" s="41">
        <v>1.17</v>
      </c>
      <c r="AB9" s="54">
        <v>50</v>
      </c>
    </row>
    <row r="10" spans="1:28">
      <c r="A10" s="55">
        <v>26</v>
      </c>
      <c r="B10" s="56">
        <v>0.09</v>
      </c>
      <c r="C10" s="57">
        <v>0.13</v>
      </c>
      <c r="D10" s="57">
        <v>0.14000000000000001</v>
      </c>
      <c r="E10" s="57">
        <v>0.15</v>
      </c>
      <c r="F10" s="57">
        <v>0.17</v>
      </c>
      <c r="G10" s="57">
        <v>0.2</v>
      </c>
      <c r="H10" s="57">
        <v>0.23</v>
      </c>
      <c r="I10" s="57">
        <v>0.26</v>
      </c>
      <c r="J10" s="57">
        <v>0.3</v>
      </c>
      <c r="K10" s="57">
        <v>0.33</v>
      </c>
      <c r="L10" s="57">
        <v>0.37</v>
      </c>
      <c r="M10" s="57">
        <v>0.42</v>
      </c>
      <c r="N10" s="57">
        <v>0.49</v>
      </c>
      <c r="O10" s="57">
        <v>0.56000000000000005</v>
      </c>
      <c r="P10" s="57">
        <v>0.6</v>
      </c>
      <c r="Q10" s="57">
        <v>0.63</v>
      </c>
      <c r="R10" s="57">
        <v>0.67</v>
      </c>
      <c r="S10" s="57">
        <v>0.74</v>
      </c>
      <c r="T10" s="57">
        <v>0.8</v>
      </c>
      <c r="U10" s="57">
        <v>0.87</v>
      </c>
      <c r="V10" s="56">
        <v>0.92</v>
      </c>
      <c r="W10" s="57">
        <v>0.96</v>
      </c>
      <c r="X10" s="57">
        <v>1.01</v>
      </c>
      <c r="Y10" s="57">
        <v>1.0900000000000001</v>
      </c>
      <c r="Z10" s="57">
        <v>1.17</v>
      </c>
      <c r="AA10" s="57">
        <v>1.28</v>
      </c>
      <c r="AB10" s="58">
        <v>51</v>
      </c>
    </row>
    <row r="11" spans="1:28">
      <c r="A11" s="52">
        <v>27</v>
      </c>
      <c r="B11" s="53">
        <v>0.08</v>
      </c>
      <c r="C11" s="41">
        <v>0.12</v>
      </c>
      <c r="D11" s="41">
        <v>0.14000000000000001</v>
      </c>
      <c r="E11" s="41">
        <v>0.16</v>
      </c>
      <c r="F11" s="41">
        <v>0.18</v>
      </c>
      <c r="G11" s="41">
        <v>0.2</v>
      </c>
      <c r="H11" s="41">
        <v>0.23</v>
      </c>
      <c r="I11" s="41">
        <v>0.28000000000000003</v>
      </c>
      <c r="J11" s="41">
        <v>0.32</v>
      </c>
      <c r="K11" s="41">
        <v>0.36</v>
      </c>
      <c r="L11" s="41">
        <v>0.41</v>
      </c>
      <c r="M11" s="41">
        <v>0.47</v>
      </c>
      <c r="N11" s="41">
        <v>0.54</v>
      </c>
      <c r="O11" s="41">
        <v>0.6</v>
      </c>
      <c r="P11" s="41">
        <v>0.63</v>
      </c>
      <c r="Q11" s="41">
        <v>0.66</v>
      </c>
      <c r="R11" s="41">
        <v>0.7</v>
      </c>
      <c r="S11" s="41">
        <v>0.76</v>
      </c>
      <c r="T11" s="41">
        <v>0.83</v>
      </c>
      <c r="U11" s="41">
        <v>0.9</v>
      </c>
      <c r="V11" s="53">
        <v>0.96</v>
      </c>
      <c r="W11" s="41">
        <v>1.01</v>
      </c>
      <c r="X11" s="41">
        <v>1.0900000000000001</v>
      </c>
      <c r="Y11" s="41">
        <v>1.17</v>
      </c>
      <c r="Z11" s="41">
        <v>1.28</v>
      </c>
      <c r="AA11" s="41">
        <v>1.42</v>
      </c>
      <c r="AB11" s="54">
        <v>52</v>
      </c>
    </row>
    <row r="12" spans="1:28">
      <c r="A12" s="55">
        <v>28</v>
      </c>
      <c r="B12" s="56">
        <v>7.0000000000000007E-2</v>
      </c>
      <c r="C12" s="57">
        <v>0.12</v>
      </c>
      <c r="D12" s="57">
        <v>0.14000000000000001</v>
      </c>
      <c r="E12" s="57">
        <v>0.16</v>
      </c>
      <c r="F12" s="57">
        <v>0.18</v>
      </c>
      <c r="G12" s="57">
        <v>0.21</v>
      </c>
      <c r="H12" s="57">
        <v>0.25</v>
      </c>
      <c r="I12" s="57">
        <v>0.3</v>
      </c>
      <c r="J12" s="57">
        <v>0.35</v>
      </c>
      <c r="K12" s="57">
        <v>0.4</v>
      </c>
      <c r="L12" s="57">
        <v>0.45</v>
      </c>
      <c r="M12" s="57">
        <v>0.51</v>
      </c>
      <c r="N12" s="57">
        <v>0.57999999999999996</v>
      </c>
      <c r="O12" s="57">
        <v>0.63</v>
      </c>
      <c r="P12" s="57">
        <v>0.65</v>
      </c>
      <c r="Q12" s="57">
        <v>0.68</v>
      </c>
      <c r="R12" s="57">
        <v>0.73</v>
      </c>
      <c r="S12" s="57">
        <v>0.8</v>
      </c>
      <c r="T12" s="57">
        <v>0.87</v>
      </c>
      <c r="U12" s="57">
        <v>0.95</v>
      </c>
      <c r="V12" s="56">
        <v>1.01</v>
      </c>
      <c r="W12" s="57">
        <v>1.0900000000000001</v>
      </c>
      <c r="X12" s="57">
        <v>1.17</v>
      </c>
      <c r="Y12" s="57">
        <v>1.28</v>
      </c>
      <c r="Z12" s="57">
        <v>1.42</v>
      </c>
      <c r="AA12" s="57">
        <v>1.6</v>
      </c>
      <c r="AB12" s="58">
        <v>53</v>
      </c>
    </row>
    <row r="13" spans="1:28">
      <c r="A13" s="52">
        <v>29</v>
      </c>
      <c r="B13" s="53">
        <v>7.0000000000000007E-2</v>
      </c>
      <c r="C13" s="41">
        <v>0.12</v>
      </c>
      <c r="D13" s="41">
        <v>0.15</v>
      </c>
      <c r="E13" s="41">
        <v>0.16</v>
      </c>
      <c r="F13" s="41">
        <v>0.18</v>
      </c>
      <c r="G13" s="41">
        <v>0.22</v>
      </c>
      <c r="H13" s="41">
        <v>0.26</v>
      </c>
      <c r="I13" s="41">
        <v>0.32</v>
      </c>
      <c r="J13" s="41">
        <v>0.38</v>
      </c>
      <c r="K13" s="41">
        <v>0.43</v>
      </c>
      <c r="L13" s="41">
        <v>0.49</v>
      </c>
      <c r="M13" s="41">
        <v>0.55000000000000004</v>
      </c>
      <c r="N13" s="41">
        <v>0.61</v>
      </c>
      <c r="O13" s="41">
        <v>0.65</v>
      </c>
      <c r="P13" s="41">
        <v>0.67</v>
      </c>
      <c r="Q13" s="41">
        <v>0.71</v>
      </c>
      <c r="R13" s="41">
        <v>0.77</v>
      </c>
      <c r="S13" s="41">
        <v>0.84</v>
      </c>
      <c r="T13" s="41">
        <v>0.92</v>
      </c>
      <c r="U13" s="41">
        <v>1</v>
      </c>
      <c r="V13" s="53">
        <v>1.0900000000000001</v>
      </c>
      <c r="W13" s="41">
        <v>1.17</v>
      </c>
      <c r="X13" s="41">
        <v>1.28</v>
      </c>
      <c r="Y13" s="41">
        <v>1.42</v>
      </c>
      <c r="Z13" s="41">
        <v>1.6</v>
      </c>
      <c r="AA13" s="41">
        <v>1.8</v>
      </c>
      <c r="AB13" s="54">
        <v>54</v>
      </c>
    </row>
    <row r="14" spans="1:28">
      <c r="A14" s="55">
        <v>30</v>
      </c>
      <c r="B14" s="56">
        <v>7.0000000000000007E-2</v>
      </c>
      <c r="C14" s="57">
        <v>0.13</v>
      </c>
      <c r="D14" s="57">
        <v>0.15</v>
      </c>
      <c r="E14" s="57">
        <v>0.16</v>
      </c>
      <c r="F14" s="57">
        <v>0.19</v>
      </c>
      <c r="G14" s="57">
        <v>0.23</v>
      </c>
      <c r="H14" s="57">
        <v>0.28999999999999998</v>
      </c>
      <c r="I14" s="57">
        <v>0.35</v>
      </c>
      <c r="J14" s="57">
        <v>0.41</v>
      </c>
      <c r="K14" s="57">
        <v>0.46</v>
      </c>
      <c r="L14" s="57">
        <v>0.52</v>
      </c>
      <c r="M14" s="57">
        <v>0.57999999999999996</v>
      </c>
      <c r="N14" s="57">
        <v>0.64</v>
      </c>
      <c r="O14" s="57">
        <v>0.67</v>
      </c>
      <c r="P14" s="57">
        <v>0.7</v>
      </c>
      <c r="Q14" s="57">
        <v>0.75</v>
      </c>
      <c r="R14" s="57">
        <v>0.83</v>
      </c>
      <c r="S14" s="57">
        <v>0.92</v>
      </c>
      <c r="T14" s="57">
        <v>1</v>
      </c>
      <c r="U14" s="57">
        <v>1.08</v>
      </c>
      <c r="V14" s="56">
        <v>1.17</v>
      </c>
      <c r="W14" s="57">
        <v>1.28</v>
      </c>
      <c r="X14" s="57">
        <v>1.42</v>
      </c>
      <c r="Y14" s="57">
        <v>1.6</v>
      </c>
      <c r="Z14" s="57">
        <v>1.8</v>
      </c>
      <c r="AA14" s="57">
        <v>2</v>
      </c>
      <c r="AB14" s="58">
        <v>55</v>
      </c>
    </row>
    <row r="15" spans="1:28">
      <c r="A15" s="52">
        <v>31</v>
      </c>
      <c r="B15" s="53">
        <v>7.0000000000000007E-2</v>
      </c>
      <c r="C15" s="41">
        <v>0.13</v>
      </c>
      <c r="D15" s="41">
        <v>0.16</v>
      </c>
      <c r="E15" s="41">
        <v>0.18</v>
      </c>
      <c r="F15" s="41">
        <v>0.21</v>
      </c>
      <c r="G15" s="41">
        <v>0.26</v>
      </c>
      <c r="H15" s="41">
        <v>0.32</v>
      </c>
      <c r="I15" s="41">
        <v>0.38</v>
      </c>
      <c r="J15" s="41">
        <v>0.43</v>
      </c>
      <c r="K15" s="41">
        <v>0.49</v>
      </c>
      <c r="L15" s="41">
        <v>0.54</v>
      </c>
      <c r="M15" s="41">
        <v>0.6</v>
      </c>
      <c r="N15" s="41">
        <v>0.65</v>
      </c>
      <c r="O15" s="41">
        <v>0.7</v>
      </c>
      <c r="P15" s="41">
        <v>0.74</v>
      </c>
      <c r="Q15" s="41">
        <v>0.81</v>
      </c>
      <c r="R15" s="41">
        <v>0.9</v>
      </c>
      <c r="S15" s="41">
        <v>0.99</v>
      </c>
      <c r="T15" s="41">
        <v>1.07</v>
      </c>
      <c r="U15" s="41">
        <v>1.1599999999999999</v>
      </c>
      <c r="V15" s="53">
        <v>1.28</v>
      </c>
      <c r="W15" s="41">
        <v>1.42</v>
      </c>
      <c r="X15" s="41">
        <v>1.6</v>
      </c>
      <c r="Y15" s="41">
        <v>1.8</v>
      </c>
      <c r="Z15" s="41">
        <v>2</v>
      </c>
      <c r="AA15" s="41">
        <v>2.2000000000000002</v>
      </c>
      <c r="AB15" s="54">
        <v>56</v>
      </c>
    </row>
    <row r="16" spans="1:28">
      <c r="A16" s="55">
        <v>32</v>
      </c>
      <c r="B16" s="56">
        <v>0.08</v>
      </c>
      <c r="C16" s="57">
        <v>0.14000000000000001</v>
      </c>
      <c r="D16" s="57">
        <v>0.17</v>
      </c>
      <c r="E16" s="57">
        <v>0.19</v>
      </c>
      <c r="F16" s="57">
        <v>0.24</v>
      </c>
      <c r="G16" s="57">
        <v>0.3</v>
      </c>
      <c r="H16" s="57">
        <v>0.35</v>
      </c>
      <c r="I16" s="57">
        <v>0.41</v>
      </c>
      <c r="J16" s="57">
        <v>0.46</v>
      </c>
      <c r="K16" s="57">
        <v>0.51</v>
      </c>
      <c r="L16" s="57">
        <v>0.56000000000000005</v>
      </c>
      <c r="M16" s="57">
        <v>0.62</v>
      </c>
      <c r="N16" s="57">
        <v>0.69</v>
      </c>
      <c r="O16" s="57">
        <v>0.74</v>
      </c>
      <c r="P16" s="57">
        <v>0.8</v>
      </c>
      <c r="Q16" s="57">
        <v>0.88</v>
      </c>
      <c r="R16" s="57">
        <v>0.98</v>
      </c>
      <c r="S16" s="57">
        <v>1.06</v>
      </c>
      <c r="T16" s="57">
        <v>1.1599999999999999</v>
      </c>
      <c r="U16" s="57">
        <v>1.27</v>
      </c>
      <c r="V16" s="56">
        <v>1.42</v>
      </c>
      <c r="W16" s="57">
        <v>1.6</v>
      </c>
      <c r="X16" s="57">
        <v>1.8</v>
      </c>
      <c r="Y16" s="57">
        <v>2</v>
      </c>
      <c r="Z16" s="57">
        <v>2.2000000000000002</v>
      </c>
      <c r="AA16" s="57">
        <v>2.39</v>
      </c>
      <c r="AB16" s="58">
        <v>57</v>
      </c>
    </row>
    <row r="17" spans="1:28">
      <c r="A17" s="52">
        <v>33</v>
      </c>
      <c r="B17" s="53">
        <v>0.08</v>
      </c>
      <c r="C17" s="41">
        <v>0.15</v>
      </c>
      <c r="D17" s="41">
        <v>0.18</v>
      </c>
      <c r="E17" s="41">
        <v>0.22</v>
      </c>
      <c r="F17" s="41">
        <v>0.28000000000000003</v>
      </c>
      <c r="G17" s="41">
        <v>0.33</v>
      </c>
      <c r="H17" s="41">
        <v>0.38</v>
      </c>
      <c r="I17" s="41">
        <v>0.44</v>
      </c>
      <c r="J17" s="41">
        <v>0.47</v>
      </c>
      <c r="K17" s="41">
        <v>0.52</v>
      </c>
      <c r="L17" s="41">
        <v>0.57999999999999996</v>
      </c>
      <c r="M17" s="41">
        <v>0.64</v>
      </c>
      <c r="N17" s="41">
        <v>0.72</v>
      </c>
      <c r="O17" s="41">
        <v>0.8</v>
      </c>
      <c r="P17" s="41">
        <v>0.88</v>
      </c>
      <c r="Q17" s="41">
        <v>0.96</v>
      </c>
      <c r="R17" s="41">
        <v>1.06</v>
      </c>
      <c r="S17" s="41">
        <v>1.1599999999999999</v>
      </c>
      <c r="T17" s="41">
        <v>1.26</v>
      </c>
      <c r="U17" s="41">
        <v>1.41</v>
      </c>
      <c r="V17" s="53">
        <v>1.6</v>
      </c>
      <c r="W17" s="41">
        <v>1.8</v>
      </c>
      <c r="X17" s="41">
        <v>2</v>
      </c>
      <c r="Y17" s="41">
        <v>2.2000000000000002</v>
      </c>
      <c r="Z17" s="41">
        <v>2.39</v>
      </c>
      <c r="AA17" s="41">
        <v>2.59</v>
      </c>
      <c r="AB17" s="54">
        <v>58</v>
      </c>
    </row>
    <row r="18" spans="1:28">
      <c r="A18" s="55">
        <v>34</v>
      </c>
      <c r="B18" s="56">
        <v>0.08</v>
      </c>
      <c r="C18" s="57">
        <v>0.15</v>
      </c>
      <c r="D18" s="57">
        <v>0.21</v>
      </c>
      <c r="E18" s="57">
        <v>0.25</v>
      </c>
      <c r="F18" s="57">
        <v>0.31</v>
      </c>
      <c r="G18" s="57">
        <v>0.36</v>
      </c>
      <c r="H18" s="57">
        <v>0.42</v>
      </c>
      <c r="I18" s="57">
        <v>0.46</v>
      </c>
      <c r="J18" s="57">
        <v>0.49</v>
      </c>
      <c r="K18" s="57">
        <v>0.54</v>
      </c>
      <c r="L18" s="57">
        <v>0.6</v>
      </c>
      <c r="M18" s="57">
        <v>0.68</v>
      </c>
      <c r="N18" s="57">
        <v>0.78</v>
      </c>
      <c r="O18" s="57">
        <v>0.87</v>
      </c>
      <c r="P18" s="57">
        <v>0.96</v>
      </c>
      <c r="Q18" s="57">
        <v>1.05</v>
      </c>
      <c r="R18" s="57">
        <v>1.1499999999999999</v>
      </c>
      <c r="S18" s="57">
        <v>1.26</v>
      </c>
      <c r="T18" s="57">
        <v>1.4</v>
      </c>
      <c r="U18" s="57">
        <v>1.58</v>
      </c>
      <c r="V18" s="56">
        <v>1.8</v>
      </c>
      <c r="W18" s="57">
        <v>2</v>
      </c>
      <c r="X18" s="57">
        <v>2.2000000000000002</v>
      </c>
      <c r="Y18" s="57">
        <v>2.39</v>
      </c>
      <c r="Z18" s="57">
        <v>2.59</v>
      </c>
      <c r="AA18" s="57">
        <v>2.79</v>
      </c>
      <c r="AB18" s="58">
        <v>59</v>
      </c>
    </row>
    <row r="19" spans="1:28">
      <c r="A19" s="52">
        <v>35</v>
      </c>
      <c r="B19" s="53">
        <v>0.09</v>
      </c>
      <c r="C19" s="41">
        <v>0.16</v>
      </c>
      <c r="D19" s="41">
        <v>0.23</v>
      </c>
      <c r="E19" s="41">
        <v>0.3</v>
      </c>
      <c r="F19" s="41">
        <v>0.35</v>
      </c>
      <c r="G19" s="41">
        <v>0.39</v>
      </c>
      <c r="H19" s="41">
        <v>0.45</v>
      </c>
      <c r="I19" s="41">
        <v>0.49</v>
      </c>
      <c r="J19" s="41">
        <v>0.51</v>
      </c>
      <c r="K19" s="41">
        <v>0.56000000000000005</v>
      </c>
      <c r="L19" s="41">
        <v>0.63</v>
      </c>
      <c r="M19" s="41">
        <v>0.74</v>
      </c>
      <c r="N19" s="41">
        <v>0.86</v>
      </c>
      <c r="O19" s="41">
        <v>0.96</v>
      </c>
      <c r="P19" s="41">
        <v>1.04</v>
      </c>
      <c r="Q19" s="41">
        <v>1.1399999999999999</v>
      </c>
      <c r="R19" s="41">
        <v>1.25</v>
      </c>
      <c r="S19" s="41">
        <v>1.39</v>
      </c>
      <c r="T19" s="41">
        <v>1.56</v>
      </c>
      <c r="U19" s="41">
        <v>1.77</v>
      </c>
      <c r="V19" s="53">
        <v>2</v>
      </c>
      <c r="W19" s="41">
        <v>2.2000000000000002</v>
      </c>
      <c r="X19" s="41">
        <v>2.39</v>
      </c>
      <c r="Y19" s="41">
        <v>2.59</v>
      </c>
      <c r="Z19" s="41">
        <v>2.79</v>
      </c>
      <c r="AA19" s="41">
        <v>3.03</v>
      </c>
      <c r="AB19" s="54">
        <v>60</v>
      </c>
    </row>
    <row r="20" spans="1:28">
      <c r="A20" s="55">
        <v>36</v>
      </c>
      <c r="B20" s="56">
        <v>0.1</v>
      </c>
      <c r="C20" s="57">
        <v>0.17</v>
      </c>
      <c r="D20" s="57">
        <v>0.26</v>
      </c>
      <c r="E20" s="57">
        <v>0.32</v>
      </c>
      <c r="F20" s="57">
        <v>0.37</v>
      </c>
      <c r="G20" s="57">
        <v>0.43</v>
      </c>
      <c r="H20" s="57">
        <v>0.48</v>
      </c>
      <c r="I20" s="57">
        <v>0.51</v>
      </c>
      <c r="J20" s="57">
        <v>0.54</v>
      </c>
      <c r="K20" s="57">
        <v>0.59</v>
      </c>
      <c r="L20" s="57">
        <v>0.69</v>
      </c>
      <c r="M20" s="57">
        <v>0.81</v>
      </c>
      <c r="N20" s="57">
        <v>0.95</v>
      </c>
      <c r="O20" s="57">
        <v>1.04</v>
      </c>
      <c r="P20" s="57">
        <v>1.1399999999999999</v>
      </c>
      <c r="Q20" s="57">
        <v>1.24</v>
      </c>
      <c r="R20" s="57">
        <v>1.36</v>
      </c>
      <c r="S20" s="57">
        <v>1.52</v>
      </c>
      <c r="T20" s="57">
        <v>1.72</v>
      </c>
      <c r="U20" s="57">
        <v>1.96</v>
      </c>
      <c r="V20" s="56">
        <v>2.2000000000000002</v>
      </c>
      <c r="W20" s="57">
        <v>2.39</v>
      </c>
      <c r="X20" s="57">
        <v>2.59</v>
      </c>
      <c r="Y20" s="57">
        <v>2.79</v>
      </c>
      <c r="Z20" s="57">
        <v>3.03</v>
      </c>
      <c r="AA20" s="57">
        <v>3.3</v>
      </c>
      <c r="AB20" s="58">
        <v>61</v>
      </c>
    </row>
    <row r="21" spans="1:28">
      <c r="A21" s="52">
        <v>37</v>
      </c>
      <c r="B21" s="53">
        <v>0.11</v>
      </c>
      <c r="C21" s="41">
        <v>0.18</v>
      </c>
      <c r="D21" s="41">
        <v>0.28000000000000003</v>
      </c>
      <c r="E21" s="41">
        <v>0.37</v>
      </c>
      <c r="F21" s="41">
        <v>0.42</v>
      </c>
      <c r="G21" s="41">
        <v>0.48</v>
      </c>
      <c r="H21" s="41">
        <v>0.51</v>
      </c>
      <c r="I21" s="41">
        <v>0.53</v>
      </c>
      <c r="J21" s="41">
        <v>0.56999999999999995</v>
      </c>
      <c r="K21" s="41">
        <v>0.65</v>
      </c>
      <c r="L21" s="41">
        <v>0.76</v>
      </c>
      <c r="M21" s="41">
        <v>0.9</v>
      </c>
      <c r="N21" s="41">
        <v>1.03</v>
      </c>
      <c r="O21" s="41">
        <v>1.1299999999999999</v>
      </c>
      <c r="P21" s="41">
        <v>1.23</v>
      </c>
      <c r="Q21" s="41">
        <v>1.34</v>
      </c>
      <c r="R21" s="41">
        <v>1.48</v>
      </c>
      <c r="S21" s="41">
        <v>1.66</v>
      </c>
      <c r="T21" s="41">
        <v>1.89</v>
      </c>
      <c r="U21" s="41">
        <v>2.15</v>
      </c>
      <c r="V21" s="53">
        <v>2.39</v>
      </c>
      <c r="W21" s="41">
        <v>2.59</v>
      </c>
      <c r="X21" s="41">
        <v>2.79</v>
      </c>
      <c r="Y21" s="41">
        <v>3.03</v>
      </c>
      <c r="Z21" s="41">
        <v>3.3</v>
      </c>
      <c r="AA21" s="41">
        <v>3.62</v>
      </c>
      <c r="AB21" s="54">
        <v>62</v>
      </c>
    </row>
    <row r="22" spans="1:28">
      <c r="A22" s="55">
        <v>38</v>
      </c>
      <c r="B22" s="56">
        <v>0.12</v>
      </c>
      <c r="C22" s="57">
        <v>0.19</v>
      </c>
      <c r="D22" s="57">
        <v>0.3</v>
      </c>
      <c r="E22" s="57">
        <v>0.4</v>
      </c>
      <c r="F22" s="57">
        <v>0.46</v>
      </c>
      <c r="G22" s="57">
        <v>0.5</v>
      </c>
      <c r="H22" s="57">
        <v>0.53</v>
      </c>
      <c r="I22" s="57">
        <v>0.56000000000000005</v>
      </c>
      <c r="J22" s="57">
        <v>0.62</v>
      </c>
      <c r="K22" s="57">
        <v>0.72</v>
      </c>
      <c r="L22" s="57">
        <v>0.85</v>
      </c>
      <c r="M22" s="57">
        <v>0.99</v>
      </c>
      <c r="N22" s="57">
        <v>1.1200000000000001</v>
      </c>
      <c r="O22" s="57">
        <v>1.23</v>
      </c>
      <c r="P22" s="57">
        <v>1.32</v>
      </c>
      <c r="Q22" s="57">
        <v>1.45</v>
      </c>
      <c r="R22" s="57">
        <v>1.61</v>
      </c>
      <c r="S22" s="57">
        <v>1.82</v>
      </c>
      <c r="T22" s="57">
        <v>2.0699999999999998</v>
      </c>
      <c r="U22" s="57">
        <v>2.34</v>
      </c>
      <c r="V22" s="56">
        <v>2.59</v>
      </c>
      <c r="W22" s="57">
        <v>2.79</v>
      </c>
      <c r="X22" s="57">
        <v>3.03</v>
      </c>
      <c r="Y22" s="57">
        <v>3.3</v>
      </c>
      <c r="Z22" s="57">
        <v>3.62</v>
      </c>
      <c r="AA22" s="57">
        <v>3.98</v>
      </c>
      <c r="AB22" s="58">
        <v>63</v>
      </c>
    </row>
    <row r="23" spans="1:28">
      <c r="A23" s="52">
        <v>39</v>
      </c>
      <c r="B23" s="53">
        <v>0.13</v>
      </c>
      <c r="C23" s="41">
        <v>0.2</v>
      </c>
      <c r="D23" s="41">
        <v>0.32</v>
      </c>
      <c r="E23" s="41">
        <v>0.41</v>
      </c>
      <c r="F23" s="41">
        <v>0.49</v>
      </c>
      <c r="G23" s="41">
        <v>0.53</v>
      </c>
      <c r="H23" s="41">
        <v>0.56000000000000005</v>
      </c>
      <c r="I23" s="41">
        <v>0.61</v>
      </c>
      <c r="J23" s="41">
        <v>0.68</v>
      </c>
      <c r="K23" s="41">
        <v>0.8</v>
      </c>
      <c r="L23" s="41">
        <v>0.94</v>
      </c>
      <c r="M23" s="41">
        <v>1.08</v>
      </c>
      <c r="N23" s="41">
        <v>1.21</v>
      </c>
      <c r="O23" s="41">
        <v>1.32</v>
      </c>
      <c r="P23" s="41">
        <v>1.42</v>
      </c>
      <c r="Q23" s="41">
        <v>1.57</v>
      </c>
      <c r="R23" s="41">
        <v>1.75</v>
      </c>
      <c r="S23" s="41">
        <v>1.98</v>
      </c>
      <c r="T23" s="41">
        <v>2.2400000000000002</v>
      </c>
      <c r="U23" s="41">
        <v>2.5299999999999998</v>
      </c>
      <c r="V23" s="53">
        <v>2.79</v>
      </c>
      <c r="W23" s="41">
        <v>3.03</v>
      </c>
      <c r="X23" s="41">
        <v>3.3</v>
      </c>
      <c r="Y23" s="41">
        <v>3.62</v>
      </c>
      <c r="Z23" s="41">
        <v>3.98</v>
      </c>
      <c r="AA23" s="41">
        <v>4.3899999999999997</v>
      </c>
      <c r="AB23" s="54">
        <v>64</v>
      </c>
    </row>
    <row r="24" spans="1:28">
      <c r="A24" s="55">
        <v>40</v>
      </c>
      <c r="B24" s="56">
        <v>0.13</v>
      </c>
      <c r="C24" s="57">
        <v>0.21</v>
      </c>
      <c r="D24" s="57">
        <v>0.32</v>
      </c>
      <c r="E24" s="57">
        <v>0.42</v>
      </c>
      <c r="F24" s="57">
        <v>0.51</v>
      </c>
      <c r="G24" s="57">
        <v>0.55000000000000004</v>
      </c>
      <c r="H24" s="57">
        <v>0.61</v>
      </c>
      <c r="I24" s="57">
        <v>0.67</v>
      </c>
      <c r="J24" s="57">
        <v>0.75</v>
      </c>
      <c r="K24" s="57">
        <v>0.89</v>
      </c>
      <c r="L24" s="57">
        <v>1.04</v>
      </c>
      <c r="M24" s="57">
        <v>1.17</v>
      </c>
      <c r="N24" s="57">
        <v>1.3</v>
      </c>
      <c r="O24" s="57">
        <v>1.42</v>
      </c>
      <c r="P24" s="57">
        <v>1.54</v>
      </c>
      <c r="Q24" s="57">
        <v>1.7</v>
      </c>
      <c r="R24" s="57">
        <v>1.91</v>
      </c>
      <c r="S24" s="57">
        <v>2.15</v>
      </c>
      <c r="T24" s="57">
        <v>2.42</v>
      </c>
      <c r="U24" s="57">
        <v>2.73</v>
      </c>
      <c r="V24" s="56">
        <v>3.03</v>
      </c>
      <c r="W24" s="57">
        <v>3.3</v>
      </c>
      <c r="X24" s="57">
        <v>3.62</v>
      </c>
      <c r="Y24" s="57">
        <v>3.98</v>
      </c>
      <c r="Z24" s="57">
        <v>4.3899999999999997</v>
      </c>
      <c r="AA24" s="57">
        <v>4.83</v>
      </c>
      <c r="AB24" s="58">
        <v>65</v>
      </c>
    </row>
    <row r="25" spans="1:28">
      <c r="A25" s="52">
        <v>41</v>
      </c>
      <c r="B25" s="53">
        <v>0.14000000000000001</v>
      </c>
      <c r="C25" s="41">
        <v>0.22</v>
      </c>
      <c r="D25" s="41">
        <v>0.33</v>
      </c>
      <c r="E25" s="41">
        <v>0.44</v>
      </c>
      <c r="F25" s="41">
        <v>0.54</v>
      </c>
      <c r="G25" s="41">
        <v>0.6</v>
      </c>
      <c r="H25" s="41">
        <v>0.66</v>
      </c>
      <c r="I25" s="41">
        <v>0.73</v>
      </c>
      <c r="J25" s="41">
        <v>0.83</v>
      </c>
      <c r="K25" s="41">
        <v>0.99</v>
      </c>
      <c r="L25" s="41">
        <v>1.1299999999999999</v>
      </c>
      <c r="M25" s="41">
        <v>1.26</v>
      </c>
      <c r="N25" s="41">
        <v>1.4</v>
      </c>
      <c r="O25" s="41">
        <v>1.53</v>
      </c>
      <c r="P25" s="41">
        <v>1.68</v>
      </c>
      <c r="Q25" s="41">
        <v>1.86</v>
      </c>
      <c r="R25" s="41">
        <v>2.08</v>
      </c>
      <c r="S25" s="41">
        <v>2.33</v>
      </c>
      <c r="T25" s="41">
        <v>2.62</v>
      </c>
      <c r="U25" s="41">
        <v>2.96</v>
      </c>
      <c r="V25" s="53">
        <v>3.3</v>
      </c>
      <c r="W25" s="41">
        <v>3.62</v>
      </c>
      <c r="X25" s="41">
        <v>3.98</v>
      </c>
      <c r="Y25" s="41">
        <v>4.3899999999999997</v>
      </c>
      <c r="Z25" s="41">
        <v>4.83</v>
      </c>
      <c r="AA25" s="41">
        <v>5.3</v>
      </c>
      <c r="AB25" s="54">
        <v>66</v>
      </c>
    </row>
    <row r="26" spans="1:28">
      <c r="A26" s="55">
        <v>42</v>
      </c>
      <c r="B26" s="56">
        <v>0.15</v>
      </c>
      <c r="C26" s="57">
        <v>0.24</v>
      </c>
      <c r="D26" s="57">
        <v>0.34</v>
      </c>
      <c r="E26" s="57">
        <v>0.46</v>
      </c>
      <c r="F26" s="57">
        <v>0.59</v>
      </c>
      <c r="G26" s="57">
        <v>0.66</v>
      </c>
      <c r="H26" s="57">
        <v>0.71</v>
      </c>
      <c r="I26" s="57">
        <v>0.79</v>
      </c>
      <c r="J26" s="57">
        <v>0.92</v>
      </c>
      <c r="K26" s="57">
        <v>1.08</v>
      </c>
      <c r="L26" s="57">
        <v>1.22</v>
      </c>
      <c r="M26" s="57">
        <v>1.35</v>
      </c>
      <c r="N26" s="57">
        <v>1.5</v>
      </c>
      <c r="O26" s="57">
        <v>1.66</v>
      </c>
      <c r="P26" s="57">
        <v>1.84</v>
      </c>
      <c r="Q26" s="57">
        <v>2.04</v>
      </c>
      <c r="R26" s="57">
        <v>2.27</v>
      </c>
      <c r="S26" s="57">
        <v>2.5299999999999998</v>
      </c>
      <c r="T26" s="57">
        <v>2.85</v>
      </c>
      <c r="U26" s="57">
        <v>3.23</v>
      </c>
      <c r="V26" s="56">
        <v>3.62</v>
      </c>
      <c r="W26" s="57">
        <v>3.98</v>
      </c>
      <c r="X26" s="57">
        <v>4.3899999999999997</v>
      </c>
      <c r="Y26" s="57">
        <v>4.83</v>
      </c>
      <c r="Z26" s="57">
        <v>5.3</v>
      </c>
      <c r="AA26" s="57">
        <v>5.81</v>
      </c>
      <c r="AB26" s="58">
        <v>67</v>
      </c>
    </row>
    <row r="27" spans="1:28">
      <c r="A27" s="52">
        <v>43</v>
      </c>
      <c r="B27" s="53">
        <v>0.16</v>
      </c>
      <c r="C27" s="41">
        <v>0.25</v>
      </c>
      <c r="D27" s="41">
        <v>0.35</v>
      </c>
      <c r="E27" s="41">
        <v>0.51</v>
      </c>
      <c r="F27" s="41">
        <v>0.63</v>
      </c>
      <c r="G27" s="41">
        <v>0.71</v>
      </c>
      <c r="H27" s="41">
        <v>0.76</v>
      </c>
      <c r="I27" s="41">
        <v>0.86</v>
      </c>
      <c r="J27" s="41">
        <v>1</v>
      </c>
      <c r="K27" s="41">
        <v>1.17</v>
      </c>
      <c r="L27" s="41">
        <v>1.31</v>
      </c>
      <c r="M27" s="41">
        <v>1.45</v>
      </c>
      <c r="N27" s="41">
        <v>1.63</v>
      </c>
      <c r="O27" s="41">
        <v>1.83</v>
      </c>
      <c r="P27" s="41">
        <v>2.0299999999999998</v>
      </c>
      <c r="Q27" s="41">
        <v>2.25</v>
      </c>
      <c r="R27" s="41">
        <v>2.5</v>
      </c>
      <c r="S27" s="41">
        <v>2.8</v>
      </c>
      <c r="T27" s="41">
        <v>3.15</v>
      </c>
      <c r="U27" s="41">
        <v>3.55</v>
      </c>
      <c r="V27" s="53">
        <v>3.98</v>
      </c>
      <c r="W27" s="41">
        <v>4.3899999999999997</v>
      </c>
      <c r="X27" s="41">
        <v>4.83</v>
      </c>
      <c r="Y27" s="41">
        <v>5.3</v>
      </c>
      <c r="Z27" s="41">
        <v>5.81</v>
      </c>
      <c r="AA27" s="41">
        <v>6.37</v>
      </c>
      <c r="AB27" s="54">
        <v>68</v>
      </c>
    </row>
    <row r="28" spans="1:28">
      <c r="A28" s="55">
        <v>44</v>
      </c>
      <c r="B28" s="56">
        <v>0.18</v>
      </c>
      <c r="C28" s="57">
        <v>0.26</v>
      </c>
      <c r="D28" s="57">
        <v>0.38</v>
      </c>
      <c r="E28" s="57">
        <v>0.57999999999999996</v>
      </c>
      <c r="F28" s="57">
        <v>0.68</v>
      </c>
      <c r="G28" s="57">
        <v>0.75</v>
      </c>
      <c r="H28" s="57">
        <v>0.82</v>
      </c>
      <c r="I28" s="57">
        <v>0.93</v>
      </c>
      <c r="J28" s="57">
        <v>1.0900000000000001</v>
      </c>
      <c r="K28" s="57">
        <v>1.25</v>
      </c>
      <c r="L28" s="57">
        <v>1.4</v>
      </c>
      <c r="M28" s="57">
        <v>1.57</v>
      </c>
      <c r="N28" s="57">
        <v>1.79</v>
      </c>
      <c r="O28" s="57">
        <v>2.0099999999999998</v>
      </c>
      <c r="P28" s="57">
        <v>2.23</v>
      </c>
      <c r="Q28" s="57">
        <v>2.4700000000000002</v>
      </c>
      <c r="R28" s="57">
        <v>2.73</v>
      </c>
      <c r="S28" s="57">
        <v>3.04</v>
      </c>
      <c r="T28" s="57">
        <v>3.42</v>
      </c>
      <c r="U28" s="57">
        <v>3.9</v>
      </c>
      <c r="V28" s="56">
        <v>4.3899999999999997</v>
      </c>
      <c r="W28" s="57">
        <v>4.83</v>
      </c>
      <c r="X28" s="57">
        <v>5.3</v>
      </c>
      <c r="Y28" s="57">
        <v>5.81</v>
      </c>
      <c r="Z28" s="57">
        <v>6.37</v>
      </c>
      <c r="AA28" s="57">
        <v>6.99</v>
      </c>
      <c r="AB28" s="58">
        <v>69</v>
      </c>
    </row>
    <row r="29" spans="1:28">
      <c r="A29" s="52">
        <v>45</v>
      </c>
      <c r="B29" s="53">
        <v>0.21</v>
      </c>
      <c r="C29" s="41">
        <v>0.27</v>
      </c>
      <c r="D29" s="41">
        <v>0.42</v>
      </c>
      <c r="E29" s="41">
        <v>0.65</v>
      </c>
      <c r="F29" s="41">
        <v>0.74</v>
      </c>
      <c r="G29" s="41">
        <v>0.81</v>
      </c>
      <c r="H29" s="41">
        <v>0.88</v>
      </c>
      <c r="I29" s="41">
        <v>1.02</v>
      </c>
      <c r="J29" s="41">
        <v>1.18</v>
      </c>
      <c r="K29" s="41">
        <v>1.34</v>
      </c>
      <c r="L29" s="41">
        <v>1.51</v>
      </c>
      <c r="M29" s="41">
        <v>1.71</v>
      </c>
      <c r="N29" s="41">
        <v>1.96</v>
      </c>
      <c r="O29" s="41">
        <v>2.2200000000000002</v>
      </c>
      <c r="P29" s="41">
        <v>2.4500000000000002</v>
      </c>
      <c r="Q29" s="41">
        <v>2.7</v>
      </c>
      <c r="R29" s="41">
        <v>3.01</v>
      </c>
      <c r="S29" s="41">
        <v>3.36</v>
      </c>
      <c r="T29" s="41">
        <v>3.79</v>
      </c>
      <c r="U29" s="41">
        <v>4.29</v>
      </c>
      <c r="V29" s="53">
        <v>4.83</v>
      </c>
      <c r="W29" s="41">
        <v>5.3</v>
      </c>
      <c r="X29" s="41">
        <v>5.81</v>
      </c>
      <c r="Y29" s="41">
        <v>6.37</v>
      </c>
      <c r="Z29" s="41">
        <v>6.99</v>
      </c>
      <c r="AA29" s="41">
        <v>7.73</v>
      </c>
      <c r="AB29" s="54">
        <v>70</v>
      </c>
    </row>
    <row r="30" spans="1:28">
      <c r="A30" s="55">
        <v>46</v>
      </c>
      <c r="B30" s="56">
        <v>0.22</v>
      </c>
      <c r="C30" s="57">
        <v>0.27</v>
      </c>
      <c r="D30" s="57">
        <v>0.47</v>
      </c>
      <c r="E30" s="57">
        <v>0.69</v>
      </c>
      <c r="F30" s="57">
        <v>0.79</v>
      </c>
      <c r="G30" s="57">
        <v>0.87</v>
      </c>
      <c r="H30" s="57">
        <v>0.96</v>
      </c>
      <c r="I30" s="57">
        <v>1.1100000000000001</v>
      </c>
      <c r="J30" s="57">
        <v>1.27</v>
      </c>
      <c r="K30" s="57">
        <v>1.44</v>
      </c>
      <c r="L30" s="57">
        <v>1.63</v>
      </c>
      <c r="M30" s="57">
        <v>1.88</v>
      </c>
      <c r="N30" s="57">
        <v>2.1800000000000002</v>
      </c>
      <c r="O30" s="57">
        <v>2.4500000000000002</v>
      </c>
      <c r="P30" s="57">
        <v>2.69</v>
      </c>
      <c r="Q30" s="57">
        <v>2.98</v>
      </c>
      <c r="R30" s="57">
        <v>3.33</v>
      </c>
      <c r="S30" s="57">
        <v>3.72</v>
      </c>
      <c r="T30" s="57">
        <v>4.18</v>
      </c>
      <c r="U30" s="57">
        <v>4.71</v>
      </c>
      <c r="V30" s="56">
        <v>5.3</v>
      </c>
      <c r="W30" s="57">
        <v>5.81</v>
      </c>
      <c r="X30" s="57">
        <v>6.37</v>
      </c>
      <c r="Y30" s="57">
        <v>6.99</v>
      </c>
      <c r="Z30" s="57">
        <v>7.73</v>
      </c>
      <c r="AA30" s="57">
        <v>8.6</v>
      </c>
      <c r="AB30" s="58">
        <v>71</v>
      </c>
    </row>
    <row r="31" spans="1:28">
      <c r="A31" s="52">
        <v>47</v>
      </c>
      <c r="B31" s="53">
        <v>0.24</v>
      </c>
      <c r="C31" s="41">
        <v>0.28000000000000003</v>
      </c>
      <c r="D31" s="41">
        <v>0.55000000000000004</v>
      </c>
      <c r="E31" s="41">
        <v>0.75</v>
      </c>
      <c r="F31" s="41">
        <v>0.85</v>
      </c>
      <c r="G31" s="41">
        <v>0.95</v>
      </c>
      <c r="H31" s="41">
        <v>1.06</v>
      </c>
      <c r="I31" s="41">
        <v>1.21</v>
      </c>
      <c r="J31" s="41">
        <v>1.37</v>
      </c>
      <c r="K31" s="41">
        <v>1.56</v>
      </c>
      <c r="L31" s="41">
        <v>1.78</v>
      </c>
      <c r="M31" s="41">
        <v>2.08</v>
      </c>
      <c r="N31" s="41">
        <v>2.41</v>
      </c>
      <c r="O31" s="41">
        <v>2.69</v>
      </c>
      <c r="P31" s="41">
        <v>2.98</v>
      </c>
      <c r="Q31" s="41">
        <v>3.3</v>
      </c>
      <c r="R31" s="41">
        <v>3.68</v>
      </c>
      <c r="S31" s="41">
        <v>4.1100000000000003</v>
      </c>
      <c r="T31" s="41">
        <v>4.5999999999999996</v>
      </c>
      <c r="U31" s="41">
        <v>5.17</v>
      </c>
      <c r="V31" s="53">
        <v>5.81</v>
      </c>
      <c r="W31" s="41">
        <v>6.37</v>
      </c>
      <c r="X31" s="41">
        <v>6.99</v>
      </c>
      <c r="Y31" s="41">
        <v>7.73</v>
      </c>
      <c r="Z31" s="41">
        <v>8.6</v>
      </c>
      <c r="AA31" s="41">
        <v>9.6300000000000008</v>
      </c>
      <c r="AB31" s="54">
        <v>72</v>
      </c>
    </row>
    <row r="32" spans="1:28">
      <c r="A32" s="55">
        <v>48</v>
      </c>
      <c r="B32" s="59">
        <v>0.25</v>
      </c>
      <c r="C32" s="57">
        <v>0.31</v>
      </c>
      <c r="D32" s="57">
        <v>0.65</v>
      </c>
      <c r="E32" s="57">
        <v>0.81</v>
      </c>
      <c r="F32" s="57">
        <v>0.94</v>
      </c>
      <c r="G32" s="57">
        <v>1.04</v>
      </c>
      <c r="H32" s="57">
        <v>1.1599999999999999</v>
      </c>
      <c r="I32" s="57">
        <v>1.32</v>
      </c>
      <c r="J32" s="57">
        <v>1.48</v>
      </c>
      <c r="K32" s="57">
        <v>1.69</v>
      </c>
      <c r="L32" s="57">
        <v>1.95</v>
      </c>
      <c r="M32" s="57">
        <v>2.29</v>
      </c>
      <c r="N32" s="57">
        <v>2.67</v>
      </c>
      <c r="O32" s="57">
        <v>2.97</v>
      </c>
      <c r="P32" s="57">
        <v>3.28</v>
      </c>
      <c r="Q32" s="57">
        <v>3.65</v>
      </c>
      <c r="R32" s="57">
        <v>4.08</v>
      </c>
      <c r="S32" s="57">
        <v>4.54</v>
      </c>
      <c r="T32" s="57">
        <v>5.07</v>
      </c>
      <c r="U32" s="57">
        <v>5.67</v>
      </c>
      <c r="V32" s="56">
        <v>6.37</v>
      </c>
      <c r="W32" s="57">
        <v>6.99</v>
      </c>
      <c r="X32" s="57">
        <v>7.73</v>
      </c>
      <c r="Y32" s="57">
        <v>8.6</v>
      </c>
      <c r="Z32" s="57">
        <v>9.6300000000000008</v>
      </c>
      <c r="AA32" s="57">
        <v>10.82</v>
      </c>
      <c r="AB32" s="58">
        <v>73</v>
      </c>
    </row>
    <row r="33" spans="1:28">
      <c r="A33" s="52">
        <v>49</v>
      </c>
      <c r="B33" s="45">
        <v>0.26</v>
      </c>
      <c r="C33" s="41">
        <v>0.36</v>
      </c>
      <c r="D33" s="41">
        <v>0.76</v>
      </c>
      <c r="E33" s="41">
        <v>0.91</v>
      </c>
      <c r="F33" s="41">
        <v>1.03</v>
      </c>
      <c r="G33" s="41">
        <v>1.1399999999999999</v>
      </c>
      <c r="H33" s="41">
        <v>1.28</v>
      </c>
      <c r="I33" s="41">
        <v>1.44</v>
      </c>
      <c r="J33" s="41">
        <v>1.61</v>
      </c>
      <c r="K33" s="41">
        <v>1.84</v>
      </c>
      <c r="L33" s="41">
        <v>2.14</v>
      </c>
      <c r="M33" s="41">
        <v>2.5099999999999998</v>
      </c>
      <c r="N33" s="41">
        <v>2.92</v>
      </c>
      <c r="O33" s="41">
        <v>3.26</v>
      </c>
      <c r="P33" s="41">
        <v>3.58</v>
      </c>
      <c r="Q33" s="41">
        <v>4</v>
      </c>
      <c r="R33" s="41">
        <v>4.4800000000000004</v>
      </c>
      <c r="S33" s="41">
        <v>4.9800000000000004</v>
      </c>
      <c r="T33" s="41">
        <v>5.55</v>
      </c>
      <c r="U33" s="41">
        <v>6.21</v>
      </c>
      <c r="V33" s="53">
        <v>6.99</v>
      </c>
      <c r="W33" s="41">
        <v>7.73</v>
      </c>
      <c r="X33" s="41">
        <v>8.6</v>
      </c>
      <c r="Y33" s="41">
        <v>9.6300000000000008</v>
      </c>
      <c r="Z33" s="41">
        <v>10.82</v>
      </c>
      <c r="AA33" s="41">
        <v>12.22</v>
      </c>
      <c r="AB33" s="54">
        <v>74</v>
      </c>
    </row>
    <row r="34" spans="1:28">
      <c r="A34" s="55">
        <v>50</v>
      </c>
      <c r="B34" s="59">
        <v>0.27</v>
      </c>
      <c r="C34" s="57">
        <v>0.47</v>
      </c>
      <c r="D34" s="57">
        <v>0.89</v>
      </c>
      <c r="E34" s="57">
        <v>1.03</v>
      </c>
      <c r="F34" s="57">
        <v>1.1399999999999999</v>
      </c>
      <c r="G34" s="57">
        <v>1.26</v>
      </c>
      <c r="H34" s="57">
        <v>1.42</v>
      </c>
      <c r="I34" s="57">
        <v>1.56</v>
      </c>
      <c r="J34" s="57">
        <v>1.75</v>
      </c>
      <c r="K34" s="57">
        <v>2.0099999999999998</v>
      </c>
      <c r="L34" s="57">
        <v>2.35</v>
      </c>
      <c r="M34" s="57">
        <v>2.74</v>
      </c>
      <c r="N34" s="57">
        <v>3.15</v>
      </c>
      <c r="O34" s="57">
        <v>3.5</v>
      </c>
      <c r="P34" s="57">
        <v>3.88</v>
      </c>
      <c r="Q34" s="57">
        <v>4.37</v>
      </c>
      <c r="R34" s="57">
        <v>4.8899999999999997</v>
      </c>
      <c r="S34" s="57">
        <v>5.43</v>
      </c>
      <c r="T34" s="57">
        <v>6.05</v>
      </c>
      <c r="U34" s="57">
        <v>6.81</v>
      </c>
      <c r="V34" s="56">
        <v>7.73</v>
      </c>
      <c r="W34" s="57">
        <v>8.6</v>
      </c>
      <c r="X34" s="57">
        <v>9.6300000000000008</v>
      </c>
      <c r="Y34" s="57">
        <v>10.82</v>
      </c>
      <c r="Z34" s="57">
        <v>12.22</v>
      </c>
      <c r="AA34" s="57">
        <v>13.84</v>
      </c>
      <c r="AB34" s="58">
        <v>75</v>
      </c>
    </row>
    <row r="35" spans="1:28">
      <c r="A35" s="52">
        <v>51</v>
      </c>
      <c r="B35" s="45">
        <v>0.28000000000000003</v>
      </c>
      <c r="C35" s="41">
        <v>0.61</v>
      </c>
      <c r="D35" s="41">
        <v>1</v>
      </c>
      <c r="E35" s="41">
        <v>1.1299999999999999</v>
      </c>
      <c r="F35" s="41">
        <v>1.26</v>
      </c>
      <c r="G35" s="41">
        <v>1.4</v>
      </c>
      <c r="H35" s="41">
        <v>1.54</v>
      </c>
      <c r="I35" s="41">
        <v>1.7</v>
      </c>
      <c r="J35" s="41">
        <v>1.92</v>
      </c>
      <c r="K35" s="41">
        <v>2.2200000000000002</v>
      </c>
      <c r="L35" s="41">
        <v>2.58</v>
      </c>
      <c r="M35" s="41">
        <v>2.97</v>
      </c>
      <c r="N35" s="41">
        <v>3.37</v>
      </c>
      <c r="O35" s="41">
        <v>3.75</v>
      </c>
      <c r="P35" s="41">
        <v>4.2</v>
      </c>
      <c r="Q35" s="41">
        <v>4.75</v>
      </c>
      <c r="R35" s="41">
        <v>5.32</v>
      </c>
      <c r="S35" s="41">
        <v>5.9</v>
      </c>
      <c r="T35" s="41">
        <v>6.59</v>
      </c>
      <c r="U35" s="41">
        <v>7.48</v>
      </c>
      <c r="V35" s="53">
        <v>8.6</v>
      </c>
      <c r="W35" s="41">
        <v>9.6300000000000008</v>
      </c>
      <c r="X35" s="41">
        <v>10.82</v>
      </c>
      <c r="Y35" s="41">
        <v>12.22</v>
      </c>
      <c r="Z35" s="41">
        <v>13.84</v>
      </c>
      <c r="AA35" s="41">
        <v>15.68</v>
      </c>
      <c r="AB35" s="54">
        <v>76</v>
      </c>
    </row>
    <row r="36" spans="1:28">
      <c r="A36" s="55">
        <v>52</v>
      </c>
      <c r="B36" s="59">
        <v>0.28999999999999998</v>
      </c>
      <c r="C36" s="57">
        <v>0.75</v>
      </c>
      <c r="D36" s="57">
        <v>1.07</v>
      </c>
      <c r="E36" s="57">
        <v>1.21</v>
      </c>
      <c r="F36" s="57">
        <v>1.36</v>
      </c>
      <c r="G36" s="57">
        <v>1.52</v>
      </c>
      <c r="H36" s="57">
        <v>1.68</v>
      </c>
      <c r="I36" s="57">
        <v>1.87</v>
      </c>
      <c r="J36" s="57">
        <v>2.12</v>
      </c>
      <c r="K36" s="57">
        <v>2.46</v>
      </c>
      <c r="L36" s="57">
        <v>2.83</v>
      </c>
      <c r="M36" s="57">
        <v>3.21</v>
      </c>
      <c r="N36" s="57">
        <v>3.62</v>
      </c>
      <c r="O36" s="57">
        <v>4.05</v>
      </c>
      <c r="P36" s="57">
        <v>4.57</v>
      </c>
      <c r="Q36" s="57">
        <v>5.19</v>
      </c>
      <c r="R36" s="57">
        <v>5.76</v>
      </c>
      <c r="S36" s="57">
        <v>6.38</v>
      </c>
      <c r="T36" s="57">
        <v>7.23</v>
      </c>
      <c r="U36" s="57">
        <v>8.33</v>
      </c>
      <c r="V36" s="56">
        <v>9.6300000000000008</v>
      </c>
      <c r="W36" s="57">
        <v>10.82</v>
      </c>
      <c r="X36" s="57">
        <v>12.22</v>
      </c>
      <c r="Y36" s="57">
        <v>13.84</v>
      </c>
      <c r="Z36" s="57">
        <v>15.68</v>
      </c>
      <c r="AA36" s="57">
        <v>17.82</v>
      </c>
      <c r="AB36" s="58">
        <v>77</v>
      </c>
    </row>
    <row r="37" spans="1:28">
      <c r="A37" s="52">
        <v>53</v>
      </c>
      <c r="B37" s="45">
        <v>0.3</v>
      </c>
      <c r="C37" s="41">
        <v>0.84</v>
      </c>
      <c r="D37" s="41">
        <v>1.1200000000000001</v>
      </c>
      <c r="E37" s="41">
        <v>1.31</v>
      </c>
      <c r="F37" s="41">
        <v>1.48</v>
      </c>
      <c r="G37" s="41">
        <v>1.66</v>
      </c>
      <c r="H37" s="41">
        <v>1.84</v>
      </c>
      <c r="I37" s="41">
        <v>2.0699999999999998</v>
      </c>
      <c r="J37" s="41">
        <v>2.37</v>
      </c>
      <c r="K37" s="41">
        <v>2.73</v>
      </c>
      <c r="L37" s="41">
        <v>3.1</v>
      </c>
      <c r="M37" s="41">
        <v>3.46</v>
      </c>
      <c r="N37" s="41">
        <v>3.88</v>
      </c>
      <c r="O37" s="41">
        <v>4.38</v>
      </c>
      <c r="P37" s="41">
        <v>4.9800000000000004</v>
      </c>
      <c r="Q37" s="41">
        <v>5.65</v>
      </c>
      <c r="R37" s="41">
        <v>6.33</v>
      </c>
      <c r="S37" s="41">
        <v>7.14</v>
      </c>
      <c r="T37" s="41">
        <v>8.1300000000000008</v>
      </c>
      <c r="U37" s="41">
        <v>9.32</v>
      </c>
      <c r="V37" s="53">
        <v>10.82</v>
      </c>
      <c r="W37" s="41">
        <v>12.22</v>
      </c>
      <c r="X37" s="41">
        <v>13.84</v>
      </c>
      <c r="Y37" s="41">
        <v>15.68</v>
      </c>
      <c r="Z37" s="41">
        <v>17.82</v>
      </c>
      <c r="AA37" s="41">
        <v>20.32</v>
      </c>
      <c r="AB37" s="54">
        <v>78</v>
      </c>
    </row>
    <row r="38" spans="1:28">
      <c r="A38" s="55">
        <v>54</v>
      </c>
      <c r="B38" s="59">
        <v>0.31</v>
      </c>
      <c r="C38" s="57">
        <v>0.87</v>
      </c>
      <c r="D38" s="57">
        <v>1.17</v>
      </c>
      <c r="E38" s="57">
        <v>1.38</v>
      </c>
      <c r="F38" s="57">
        <v>1.62</v>
      </c>
      <c r="G38" s="57">
        <v>1.82</v>
      </c>
      <c r="H38" s="57">
        <v>2.0499999999999998</v>
      </c>
      <c r="I38" s="57">
        <v>2.31</v>
      </c>
      <c r="J38" s="57">
        <v>2.65</v>
      </c>
      <c r="K38" s="57">
        <v>3.03</v>
      </c>
      <c r="L38" s="57">
        <v>3.39</v>
      </c>
      <c r="M38" s="57">
        <v>3.74</v>
      </c>
      <c r="N38" s="57">
        <v>4.2</v>
      </c>
      <c r="O38" s="57">
        <v>4.79</v>
      </c>
      <c r="P38" s="57">
        <v>5.49</v>
      </c>
      <c r="Q38" s="57">
        <v>6.26</v>
      </c>
      <c r="R38" s="57">
        <v>7.05</v>
      </c>
      <c r="S38" s="57">
        <v>8.0299999999999994</v>
      </c>
      <c r="T38" s="57">
        <v>9.19</v>
      </c>
      <c r="U38" s="57">
        <v>10.57</v>
      </c>
      <c r="V38" s="56">
        <v>12.22</v>
      </c>
      <c r="W38" s="57">
        <v>13.84</v>
      </c>
      <c r="X38" s="57">
        <v>15.68</v>
      </c>
      <c r="Y38" s="57">
        <v>17.82</v>
      </c>
      <c r="Z38" s="57">
        <v>20.32</v>
      </c>
      <c r="AA38" s="57">
        <v>23.3</v>
      </c>
      <c r="AB38" s="58">
        <v>79</v>
      </c>
    </row>
    <row r="39" spans="1:28">
      <c r="A39" s="52">
        <v>55</v>
      </c>
      <c r="B39" s="45">
        <v>0.32</v>
      </c>
      <c r="C39" s="41">
        <v>0.88</v>
      </c>
      <c r="D39" s="41">
        <v>1.2</v>
      </c>
      <c r="E39" s="41">
        <v>1.43</v>
      </c>
      <c r="F39" s="41">
        <v>1.78</v>
      </c>
      <c r="G39" s="41">
        <v>2.02</v>
      </c>
      <c r="H39" s="41">
        <v>2.29</v>
      </c>
      <c r="I39" s="41">
        <v>2.59</v>
      </c>
      <c r="J39" s="41">
        <v>2.95</v>
      </c>
      <c r="K39" s="41">
        <v>3.33</v>
      </c>
      <c r="L39" s="41">
        <v>3.67</v>
      </c>
      <c r="M39" s="41">
        <v>4.04</v>
      </c>
      <c r="N39" s="41">
        <v>4.58</v>
      </c>
      <c r="O39" s="41">
        <v>5.28</v>
      </c>
      <c r="P39" s="41">
        <v>6.09</v>
      </c>
      <c r="Q39" s="41">
        <v>6.98</v>
      </c>
      <c r="R39" s="41">
        <v>7.93</v>
      </c>
      <c r="S39" s="41">
        <v>9.0500000000000007</v>
      </c>
      <c r="T39" s="41">
        <v>10.47</v>
      </c>
      <c r="U39" s="60">
        <v>12.22</v>
      </c>
      <c r="V39" s="41">
        <v>13.84</v>
      </c>
      <c r="W39" s="41">
        <v>15.68</v>
      </c>
      <c r="X39" s="41">
        <v>17.82</v>
      </c>
      <c r="Y39" s="41">
        <v>20.32</v>
      </c>
      <c r="Z39" s="41">
        <v>23.3</v>
      </c>
      <c r="AA39" s="41">
        <v>26.91</v>
      </c>
      <c r="AB39" s="54">
        <v>80</v>
      </c>
    </row>
    <row r="40" spans="1:28">
      <c r="A40" s="55">
        <v>56</v>
      </c>
      <c r="B40" s="59">
        <v>0.33</v>
      </c>
      <c r="C40" s="57">
        <v>0.89</v>
      </c>
      <c r="D40" s="57">
        <v>1.22</v>
      </c>
      <c r="E40" s="57">
        <v>1.52</v>
      </c>
      <c r="F40" s="57">
        <v>1.98</v>
      </c>
      <c r="G40" s="57">
        <v>2.27</v>
      </c>
      <c r="H40" s="57">
        <v>2.58</v>
      </c>
      <c r="I40" s="57">
        <v>2.9</v>
      </c>
      <c r="J40" s="57">
        <v>3.26</v>
      </c>
      <c r="K40" s="57">
        <v>3.61</v>
      </c>
      <c r="L40" s="57">
        <v>3.94</v>
      </c>
      <c r="M40" s="57">
        <v>4.37</v>
      </c>
      <c r="N40" s="57">
        <v>5.0199999999999996</v>
      </c>
      <c r="O40" s="57">
        <v>5.85</v>
      </c>
      <c r="P40" s="57">
        <v>6.8</v>
      </c>
      <c r="Q40" s="57">
        <v>7.86</v>
      </c>
      <c r="R40" s="57">
        <v>9.02</v>
      </c>
      <c r="S40" s="57">
        <v>10.33</v>
      </c>
      <c r="T40" s="57">
        <v>11.93</v>
      </c>
      <c r="U40" s="56">
        <v>13.84</v>
      </c>
      <c r="V40" s="57">
        <v>15.68</v>
      </c>
      <c r="W40" s="57">
        <v>17.82</v>
      </c>
      <c r="X40" s="57">
        <v>20.32</v>
      </c>
      <c r="Y40" s="57">
        <v>23.3</v>
      </c>
      <c r="Z40" s="57">
        <v>26.91</v>
      </c>
      <c r="AA40" s="57">
        <v>31.06</v>
      </c>
      <c r="AB40" s="58">
        <v>81</v>
      </c>
    </row>
    <row r="41" spans="1:28">
      <c r="A41" s="52">
        <v>57</v>
      </c>
      <c r="B41" s="45">
        <v>0.34</v>
      </c>
      <c r="C41" s="41">
        <v>0.9</v>
      </c>
      <c r="D41" s="41">
        <v>1.23</v>
      </c>
      <c r="E41" s="41">
        <v>1.66</v>
      </c>
      <c r="F41" s="41">
        <v>2.23</v>
      </c>
      <c r="G41" s="41">
        <v>2.56</v>
      </c>
      <c r="H41" s="41">
        <v>2.89</v>
      </c>
      <c r="I41" s="41">
        <v>3.21</v>
      </c>
      <c r="J41" s="41">
        <v>3.56</v>
      </c>
      <c r="K41" s="41">
        <v>3.86</v>
      </c>
      <c r="L41" s="41">
        <v>4.21</v>
      </c>
      <c r="M41" s="41">
        <v>4.7300000000000004</v>
      </c>
      <c r="N41" s="41">
        <v>5.52</v>
      </c>
      <c r="O41" s="41">
        <v>6.5</v>
      </c>
      <c r="P41" s="41">
        <v>7.62</v>
      </c>
      <c r="Q41" s="41">
        <v>8.86</v>
      </c>
      <c r="R41" s="41">
        <v>10.199999999999999</v>
      </c>
      <c r="S41" s="41">
        <v>11.69</v>
      </c>
      <c r="T41" s="41">
        <v>13.5</v>
      </c>
      <c r="U41" s="53">
        <v>15.68</v>
      </c>
      <c r="V41" s="41">
        <v>17.82</v>
      </c>
      <c r="W41" s="41">
        <v>20.32</v>
      </c>
      <c r="X41" s="41">
        <v>23.3</v>
      </c>
      <c r="Y41" s="41">
        <v>26.91</v>
      </c>
      <c r="Z41" s="41">
        <v>31.06</v>
      </c>
      <c r="AA41" s="41">
        <v>35.15</v>
      </c>
      <c r="AB41" s="54">
        <v>82</v>
      </c>
    </row>
    <row r="42" spans="1:28">
      <c r="A42" s="55">
        <v>58</v>
      </c>
      <c r="B42" s="59">
        <v>0.35</v>
      </c>
      <c r="C42" s="57">
        <v>0.92</v>
      </c>
      <c r="D42" s="57">
        <v>1.27</v>
      </c>
      <c r="E42" s="57">
        <v>1.87</v>
      </c>
      <c r="F42" s="57">
        <v>2.52</v>
      </c>
      <c r="G42" s="57">
        <v>2.88</v>
      </c>
      <c r="H42" s="57">
        <v>3.2</v>
      </c>
      <c r="I42" s="57">
        <v>3.49</v>
      </c>
      <c r="J42" s="57">
        <v>3.79</v>
      </c>
      <c r="K42" s="57">
        <v>4.0999999999999996</v>
      </c>
      <c r="L42" s="57">
        <v>4.51</v>
      </c>
      <c r="M42" s="57">
        <v>5.17</v>
      </c>
      <c r="N42" s="57">
        <v>6.14</v>
      </c>
      <c r="O42" s="57">
        <v>7.29</v>
      </c>
      <c r="P42" s="57">
        <v>8.6</v>
      </c>
      <c r="Q42" s="57">
        <v>10.039999999999999</v>
      </c>
      <c r="R42" s="57">
        <v>11.57</v>
      </c>
      <c r="S42" s="57">
        <v>13.27</v>
      </c>
      <c r="T42" s="57">
        <v>15.34</v>
      </c>
      <c r="U42" s="56">
        <v>17.82</v>
      </c>
      <c r="V42" s="57">
        <v>20.32</v>
      </c>
      <c r="W42" s="57">
        <v>23.3</v>
      </c>
      <c r="X42" s="57">
        <v>26.91</v>
      </c>
      <c r="Y42" s="57">
        <v>31.06</v>
      </c>
      <c r="Z42" s="57">
        <v>35.15</v>
      </c>
      <c r="AA42" s="57">
        <v>39.61</v>
      </c>
      <c r="AB42" s="58">
        <v>83</v>
      </c>
    </row>
    <row r="43" spans="1:28">
      <c r="A43" s="52">
        <v>59</v>
      </c>
      <c r="B43" s="45">
        <v>0.37</v>
      </c>
      <c r="C43" s="41">
        <v>0.95</v>
      </c>
      <c r="D43" s="41">
        <v>1.34</v>
      </c>
      <c r="E43" s="41">
        <v>2.15</v>
      </c>
      <c r="F43" s="41">
        <v>2.84</v>
      </c>
      <c r="G43" s="41">
        <v>3.19</v>
      </c>
      <c r="H43" s="41">
        <v>3.48</v>
      </c>
      <c r="I43" s="41">
        <v>3.73</v>
      </c>
      <c r="J43" s="41">
        <v>4.01</v>
      </c>
      <c r="K43" s="41">
        <v>4.3600000000000003</v>
      </c>
      <c r="L43" s="41">
        <v>4.8899999999999997</v>
      </c>
      <c r="M43" s="41">
        <v>5.74</v>
      </c>
      <c r="N43" s="41">
        <v>6.93</v>
      </c>
      <c r="O43" s="41">
        <v>8.2899999999999991</v>
      </c>
      <c r="P43" s="41">
        <v>9.7899999999999991</v>
      </c>
      <c r="Q43" s="41">
        <v>11.44</v>
      </c>
      <c r="R43" s="41">
        <v>13.22</v>
      </c>
      <c r="S43" s="41">
        <v>15.14</v>
      </c>
      <c r="T43" s="41">
        <v>17.5</v>
      </c>
      <c r="U43" s="53">
        <v>20.32</v>
      </c>
      <c r="V43" s="41">
        <v>23.3</v>
      </c>
      <c r="W43" s="41">
        <v>26.91</v>
      </c>
      <c r="X43" s="41">
        <v>31.06</v>
      </c>
      <c r="Y43" s="41">
        <v>35.15</v>
      </c>
      <c r="Z43" s="41">
        <v>39.61</v>
      </c>
      <c r="AA43" s="41">
        <v>44.97</v>
      </c>
      <c r="AB43" s="54">
        <v>84</v>
      </c>
    </row>
    <row r="44" spans="1:28">
      <c r="A44" s="55">
        <v>60</v>
      </c>
      <c r="B44" s="59">
        <v>0.43</v>
      </c>
      <c r="C44" s="57">
        <v>0.99</v>
      </c>
      <c r="D44" s="57">
        <v>1.53</v>
      </c>
      <c r="E44" s="57">
        <v>2.44</v>
      </c>
      <c r="F44" s="57">
        <v>3.15</v>
      </c>
      <c r="G44" s="57">
        <v>3.47</v>
      </c>
      <c r="H44" s="57">
        <v>3.7</v>
      </c>
      <c r="I44" s="57">
        <v>3.93</v>
      </c>
      <c r="J44" s="57">
        <v>4.22</v>
      </c>
      <c r="K44" s="57">
        <v>4.68</v>
      </c>
      <c r="L44" s="57">
        <v>5.4</v>
      </c>
      <c r="M44" s="57">
        <v>6.5</v>
      </c>
      <c r="N44" s="57">
        <v>7.91</v>
      </c>
      <c r="O44" s="57">
        <v>9.4499999999999993</v>
      </c>
      <c r="P44" s="57">
        <v>11.18</v>
      </c>
      <c r="Q44" s="57">
        <v>13.06</v>
      </c>
      <c r="R44" s="57">
        <v>15.03</v>
      </c>
      <c r="S44" s="57">
        <v>17.12</v>
      </c>
      <c r="T44" s="57">
        <v>19.96</v>
      </c>
      <c r="U44" s="56">
        <v>23.3</v>
      </c>
      <c r="V44" s="57">
        <v>26.91</v>
      </c>
      <c r="W44" s="57">
        <v>31.06</v>
      </c>
      <c r="X44" s="57">
        <v>35.15</v>
      </c>
      <c r="Y44" s="57">
        <v>39.61</v>
      </c>
      <c r="Z44" s="57">
        <v>44.97</v>
      </c>
      <c r="AA44" s="57">
        <v>53.19</v>
      </c>
      <c r="AB44" s="58">
        <v>85</v>
      </c>
    </row>
    <row r="45" spans="1:28">
      <c r="A45" s="52">
        <v>61</v>
      </c>
      <c r="B45" s="45">
        <v>0.51</v>
      </c>
      <c r="C45" s="41">
        <v>1.03</v>
      </c>
      <c r="D45" s="41">
        <v>1.8</v>
      </c>
      <c r="E45" s="41">
        <v>2.7</v>
      </c>
      <c r="F45" s="41">
        <v>3.43</v>
      </c>
      <c r="G45" s="41">
        <v>3.68</v>
      </c>
      <c r="H45" s="41">
        <v>3.89</v>
      </c>
      <c r="I45" s="41">
        <v>4.13</v>
      </c>
      <c r="J45" s="41">
        <v>4.51</v>
      </c>
      <c r="K45" s="41">
        <v>5.13</v>
      </c>
      <c r="L45" s="41">
        <v>6.1</v>
      </c>
      <c r="M45" s="41">
        <v>7.47</v>
      </c>
      <c r="N45" s="41">
        <v>9.09</v>
      </c>
      <c r="O45" s="41">
        <v>10.88</v>
      </c>
      <c r="P45" s="41">
        <v>12.8</v>
      </c>
      <c r="Q45" s="41">
        <v>14.89</v>
      </c>
      <c r="R45" s="41">
        <v>17.09</v>
      </c>
      <c r="S45" s="41">
        <v>19.649999999999999</v>
      </c>
      <c r="T45" s="41">
        <v>23.01</v>
      </c>
      <c r="U45" s="53">
        <v>26.91</v>
      </c>
      <c r="V45" s="41">
        <v>31.06</v>
      </c>
      <c r="W45" s="41">
        <v>35.15</v>
      </c>
      <c r="X45" s="41">
        <v>39.61</v>
      </c>
      <c r="Y45" s="41">
        <v>44.97</v>
      </c>
      <c r="Z45" s="41">
        <v>53.19</v>
      </c>
      <c r="AA45" s="41">
        <v>60.47</v>
      </c>
      <c r="AB45" s="54">
        <v>86</v>
      </c>
    </row>
    <row r="46" spans="1:28">
      <c r="A46" s="55">
        <v>62</v>
      </c>
      <c r="B46" s="59">
        <v>0.61</v>
      </c>
      <c r="C46" s="57">
        <v>1.1499999999999999</v>
      </c>
      <c r="D46" s="57">
        <v>2.14</v>
      </c>
      <c r="E46" s="57">
        <v>2.87</v>
      </c>
      <c r="F46" s="57">
        <v>3.63</v>
      </c>
      <c r="G46" s="57">
        <v>3.85</v>
      </c>
      <c r="H46" s="57">
        <v>4.0599999999999996</v>
      </c>
      <c r="I46" s="57">
        <v>4.3899999999999997</v>
      </c>
      <c r="J46" s="57">
        <v>4.92</v>
      </c>
      <c r="K46" s="57">
        <v>5.78</v>
      </c>
      <c r="L46" s="57">
        <v>7.02</v>
      </c>
      <c r="M46" s="57">
        <v>8.64</v>
      </c>
      <c r="N46" s="57">
        <v>10.46</v>
      </c>
      <c r="O46" s="57">
        <v>12.41</v>
      </c>
      <c r="P46" s="57">
        <v>14.53</v>
      </c>
      <c r="Q46" s="57">
        <v>16.87</v>
      </c>
      <c r="R46" s="57">
        <v>19.55</v>
      </c>
      <c r="S46" s="57">
        <v>22.96</v>
      </c>
      <c r="T46" s="49">
        <v>26.91</v>
      </c>
      <c r="U46" s="57">
        <v>31.06</v>
      </c>
      <c r="V46" s="57">
        <v>35.15</v>
      </c>
      <c r="W46" s="57">
        <v>39.61</v>
      </c>
      <c r="X46" s="57">
        <v>44.97</v>
      </c>
      <c r="Y46" s="57">
        <v>53.19</v>
      </c>
      <c r="Z46" s="57">
        <v>60.47</v>
      </c>
      <c r="AA46" s="57">
        <v>68.64</v>
      </c>
      <c r="AB46" s="58">
        <v>87</v>
      </c>
    </row>
    <row r="47" spans="1:28">
      <c r="A47" s="52">
        <v>63</v>
      </c>
      <c r="B47" s="45">
        <v>0.73</v>
      </c>
      <c r="C47" s="41">
        <v>1.31</v>
      </c>
      <c r="D47" s="41">
        <v>2.5</v>
      </c>
      <c r="E47" s="41">
        <v>3.19</v>
      </c>
      <c r="F47" s="41">
        <v>3.78</v>
      </c>
      <c r="G47" s="41">
        <v>4.04</v>
      </c>
      <c r="H47" s="41">
        <v>4.3499999999999996</v>
      </c>
      <c r="I47" s="41">
        <v>4.8499999999999996</v>
      </c>
      <c r="J47" s="41">
        <v>5.58</v>
      </c>
      <c r="K47" s="41">
        <v>6.65</v>
      </c>
      <c r="L47" s="41">
        <v>8.18</v>
      </c>
      <c r="M47" s="41">
        <v>10.039999999999999</v>
      </c>
      <c r="N47" s="41">
        <v>12.05</v>
      </c>
      <c r="O47" s="41">
        <v>14.2</v>
      </c>
      <c r="P47" s="41">
        <v>16.57</v>
      </c>
      <c r="Q47" s="41">
        <v>19.260000000000002</v>
      </c>
      <c r="R47" s="41">
        <v>22.73</v>
      </c>
      <c r="S47" s="41">
        <v>26.42</v>
      </c>
      <c r="T47" s="53">
        <v>31.06</v>
      </c>
      <c r="U47" s="41">
        <v>35.15</v>
      </c>
      <c r="V47" s="41">
        <v>39.61</v>
      </c>
      <c r="W47" s="41">
        <v>44.97</v>
      </c>
      <c r="X47" s="41">
        <v>53.19</v>
      </c>
      <c r="Y47" s="41">
        <v>60.47</v>
      </c>
      <c r="Z47" s="41">
        <v>68.64</v>
      </c>
      <c r="AA47" s="41">
        <v>78.209999999999994</v>
      </c>
      <c r="AB47" s="54">
        <v>88</v>
      </c>
    </row>
    <row r="48" spans="1:28">
      <c r="A48" s="55">
        <v>64</v>
      </c>
      <c r="B48" s="59">
        <v>0.84</v>
      </c>
      <c r="C48" s="57">
        <v>1.63</v>
      </c>
      <c r="D48" s="57">
        <v>2.81</v>
      </c>
      <c r="E48" s="57">
        <v>3.41</v>
      </c>
      <c r="F48" s="57">
        <v>3.87</v>
      </c>
      <c r="G48" s="57">
        <v>4.2699999999999996</v>
      </c>
      <c r="H48" s="57">
        <v>4.8499999999999996</v>
      </c>
      <c r="I48" s="57">
        <v>5.54</v>
      </c>
      <c r="J48" s="57">
        <v>6.4</v>
      </c>
      <c r="K48" s="57">
        <v>7.78</v>
      </c>
      <c r="L48" s="57">
        <v>9.5299999999999994</v>
      </c>
      <c r="M48" s="57">
        <v>11.53</v>
      </c>
      <c r="N48" s="57">
        <v>13.68</v>
      </c>
      <c r="O48" s="57">
        <v>16.02</v>
      </c>
      <c r="P48" s="57">
        <v>18.72</v>
      </c>
      <c r="Q48" s="57">
        <v>22.36</v>
      </c>
      <c r="R48" s="57">
        <v>26.32</v>
      </c>
      <c r="S48" s="49">
        <v>31.06</v>
      </c>
      <c r="T48" s="57">
        <v>35.15</v>
      </c>
      <c r="U48" s="57">
        <v>39.61</v>
      </c>
      <c r="V48" s="57">
        <v>44.97</v>
      </c>
      <c r="W48" s="57">
        <v>53.19</v>
      </c>
      <c r="X48" s="57">
        <v>60.47</v>
      </c>
      <c r="Y48" s="57">
        <v>68.64</v>
      </c>
      <c r="Z48" s="57">
        <v>78.209999999999994</v>
      </c>
      <c r="AA48" s="57">
        <v>88.84</v>
      </c>
      <c r="AB48" s="58">
        <v>89</v>
      </c>
    </row>
    <row r="49" spans="1:28">
      <c r="A49" s="52">
        <v>65</v>
      </c>
      <c r="B49" s="45">
        <v>0.94</v>
      </c>
      <c r="C49" s="41">
        <v>2</v>
      </c>
      <c r="D49" s="41">
        <v>3.05</v>
      </c>
      <c r="E49" s="41">
        <v>3.54</v>
      </c>
      <c r="F49" s="41">
        <v>4.0599999999999996</v>
      </c>
      <c r="G49" s="41">
        <v>4.75</v>
      </c>
      <c r="H49" s="41">
        <v>5.5</v>
      </c>
      <c r="I49" s="41">
        <v>6.3</v>
      </c>
      <c r="J49" s="41">
        <v>7.45</v>
      </c>
      <c r="K49" s="41">
        <v>9.15</v>
      </c>
      <c r="L49" s="41">
        <v>11.11</v>
      </c>
      <c r="M49" s="41">
        <v>13.2</v>
      </c>
      <c r="N49" s="41">
        <v>15.53</v>
      </c>
      <c r="O49" s="41">
        <v>18.059999999999999</v>
      </c>
      <c r="P49" s="41">
        <v>21.23</v>
      </c>
      <c r="Q49" s="41">
        <v>25.7</v>
      </c>
      <c r="R49" s="41">
        <v>30.27</v>
      </c>
      <c r="S49" s="53">
        <v>35.15</v>
      </c>
      <c r="T49" s="41">
        <v>39.61</v>
      </c>
      <c r="U49" s="41">
        <v>44.97</v>
      </c>
      <c r="V49" s="41">
        <v>53.19</v>
      </c>
      <c r="W49" s="41">
        <v>60.47</v>
      </c>
      <c r="X49" s="41">
        <v>68.64</v>
      </c>
      <c r="Y49" s="41">
        <v>78.209999999999994</v>
      </c>
      <c r="Z49" s="41">
        <v>88.84</v>
      </c>
      <c r="AA49" s="41">
        <v>100.49</v>
      </c>
      <c r="AB49" s="54">
        <v>90</v>
      </c>
    </row>
    <row r="50" spans="1:28">
      <c r="A50" s="55">
        <v>66</v>
      </c>
      <c r="B50" s="59">
        <v>1.04</v>
      </c>
      <c r="C50" s="57">
        <v>2.11</v>
      </c>
      <c r="D50" s="57">
        <v>3.23</v>
      </c>
      <c r="E50" s="57">
        <v>3.66</v>
      </c>
      <c r="F50" s="57">
        <v>4.3</v>
      </c>
      <c r="G50" s="57">
        <v>5.26</v>
      </c>
      <c r="H50" s="57">
        <v>6.19</v>
      </c>
      <c r="I50" s="57">
        <v>7.25</v>
      </c>
      <c r="J50" s="57">
        <v>8.74</v>
      </c>
      <c r="K50" s="57">
        <v>10.78</v>
      </c>
      <c r="L50" s="57">
        <v>12.89</v>
      </c>
      <c r="M50" s="57">
        <v>15.04</v>
      </c>
      <c r="N50" s="57">
        <v>17.57</v>
      </c>
      <c r="O50" s="57">
        <v>20.77</v>
      </c>
      <c r="P50" s="57">
        <v>24.45</v>
      </c>
      <c r="Q50" s="57">
        <v>29.29</v>
      </c>
      <c r="R50" s="49">
        <v>35.15</v>
      </c>
      <c r="S50" s="57">
        <v>39.61</v>
      </c>
      <c r="T50" s="57">
        <v>44.97</v>
      </c>
      <c r="U50" s="57">
        <v>53.19</v>
      </c>
      <c r="V50" s="57">
        <v>60.47</v>
      </c>
      <c r="W50" s="57">
        <v>68.64</v>
      </c>
      <c r="X50" s="57">
        <v>78.209999999999994</v>
      </c>
      <c r="Y50" s="57">
        <v>88.84</v>
      </c>
      <c r="Z50" s="57">
        <v>100.49</v>
      </c>
      <c r="AA50" s="57">
        <v>112.92</v>
      </c>
      <c r="AB50" s="58">
        <v>91</v>
      </c>
    </row>
    <row r="51" spans="1:28">
      <c r="A51" s="52">
        <v>67</v>
      </c>
      <c r="B51" s="45">
        <v>1.1499999999999999</v>
      </c>
      <c r="C51" s="41">
        <v>2.2000000000000002</v>
      </c>
      <c r="D51" s="41">
        <v>3.37</v>
      </c>
      <c r="E51" s="41">
        <v>3.79</v>
      </c>
      <c r="F51" s="41">
        <v>4.66</v>
      </c>
      <c r="G51" s="41">
        <v>5.86</v>
      </c>
      <c r="H51" s="41">
        <v>7.03</v>
      </c>
      <c r="I51" s="41">
        <v>8.39</v>
      </c>
      <c r="J51" s="41">
        <v>10.24</v>
      </c>
      <c r="K51" s="41">
        <v>12.61</v>
      </c>
      <c r="L51" s="41">
        <v>14.95</v>
      </c>
      <c r="M51" s="41">
        <v>17.43</v>
      </c>
      <c r="N51" s="41">
        <v>19.920000000000002</v>
      </c>
      <c r="O51" s="41">
        <v>23.39</v>
      </c>
      <c r="P51" s="41">
        <v>27.43</v>
      </c>
      <c r="Q51" s="41">
        <v>33.08</v>
      </c>
      <c r="R51" s="53">
        <v>39.61</v>
      </c>
      <c r="S51" s="41">
        <v>44.97</v>
      </c>
      <c r="T51" s="41">
        <v>53.19</v>
      </c>
      <c r="U51" s="41">
        <v>60.47</v>
      </c>
      <c r="V51" s="41">
        <v>68.64</v>
      </c>
      <c r="W51" s="41">
        <v>78.209999999999994</v>
      </c>
      <c r="X51" s="41">
        <v>88.84</v>
      </c>
      <c r="Y51" s="41">
        <v>100.49</v>
      </c>
      <c r="Z51" s="41">
        <v>112.92</v>
      </c>
      <c r="AA51" s="41">
        <v>126.41</v>
      </c>
      <c r="AB51" s="54">
        <v>92</v>
      </c>
    </row>
    <row r="52" spans="1:28">
      <c r="A52" s="55">
        <v>68</v>
      </c>
      <c r="B52" s="59">
        <v>1.28</v>
      </c>
      <c r="C52" s="57">
        <v>2.29</v>
      </c>
      <c r="D52" s="57">
        <v>3.49</v>
      </c>
      <c r="E52" s="57">
        <v>4.0599999999999996</v>
      </c>
      <c r="F52" s="57">
        <v>5.17</v>
      </c>
      <c r="G52" s="57">
        <v>6.59</v>
      </c>
      <c r="H52" s="57">
        <v>8.02</v>
      </c>
      <c r="I52" s="57">
        <v>9.73</v>
      </c>
      <c r="J52" s="57">
        <v>11.95</v>
      </c>
      <c r="K52" s="57">
        <v>14.69</v>
      </c>
      <c r="L52" s="57">
        <v>17.28</v>
      </c>
      <c r="M52" s="57">
        <v>19.809999999999999</v>
      </c>
      <c r="N52" s="57">
        <v>23.27</v>
      </c>
      <c r="O52" s="57">
        <v>27.21</v>
      </c>
      <c r="P52" s="57">
        <v>30.87</v>
      </c>
      <c r="Q52" s="57">
        <v>37.729999999999997</v>
      </c>
      <c r="R52" s="56">
        <v>44.97</v>
      </c>
      <c r="S52" s="57">
        <v>53.19</v>
      </c>
      <c r="T52" s="57">
        <v>60.47</v>
      </c>
      <c r="U52" s="57">
        <v>68.64</v>
      </c>
      <c r="V52" s="57">
        <v>78.209999999999994</v>
      </c>
      <c r="W52" s="57">
        <v>88.84</v>
      </c>
      <c r="X52" s="57">
        <v>100.49</v>
      </c>
      <c r="Y52" s="57">
        <v>112.92</v>
      </c>
      <c r="Z52" s="57">
        <v>126.41</v>
      </c>
      <c r="AA52" s="57">
        <v>140.96</v>
      </c>
      <c r="AB52" s="58">
        <v>93</v>
      </c>
    </row>
    <row r="53" spans="1:28">
      <c r="A53" s="52">
        <v>69</v>
      </c>
      <c r="B53" s="45">
        <v>1.42</v>
      </c>
      <c r="C53" s="41">
        <v>2.38</v>
      </c>
      <c r="D53" s="41">
        <v>3.64</v>
      </c>
      <c r="E53" s="41">
        <v>4.4800000000000004</v>
      </c>
      <c r="F53" s="41">
        <v>5.82</v>
      </c>
      <c r="G53" s="41">
        <v>7.44</v>
      </c>
      <c r="H53" s="41">
        <v>9.1300000000000008</v>
      </c>
      <c r="I53" s="41">
        <v>11.19</v>
      </c>
      <c r="J53" s="41">
        <v>13.85</v>
      </c>
      <c r="K53" s="41">
        <v>17.010000000000002</v>
      </c>
      <c r="L53" s="41">
        <v>19.690000000000001</v>
      </c>
      <c r="M53" s="41">
        <v>23.15</v>
      </c>
      <c r="N53" s="41">
        <v>26.98</v>
      </c>
      <c r="O53" s="41">
        <v>30.82</v>
      </c>
      <c r="P53" s="41">
        <v>36.85</v>
      </c>
      <c r="Q53" s="41">
        <v>44.71</v>
      </c>
      <c r="R53" s="53">
        <v>53.19</v>
      </c>
      <c r="S53" s="41">
        <v>60.47</v>
      </c>
      <c r="T53" s="41">
        <v>68.64</v>
      </c>
      <c r="U53" s="41">
        <v>78.209999999999994</v>
      </c>
      <c r="V53" s="41">
        <v>88.84</v>
      </c>
      <c r="W53" s="41">
        <v>100.49</v>
      </c>
      <c r="X53" s="41">
        <v>112.92</v>
      </c>
      <c r="Y53" s="41">
        <v>126.41</v>
      </c>
      <c r="Z53" s="41">
        <v>140.96</v>
      </c>
      <c r="AA53" s="41">
        <v>155.80000000000001</v>
      </c>
      <c r="AB53" s="54">
        <v>94</v>
      </c>
    </row>
    <row r="54" spans="1:28">
      <c r="A54" s="55">
        <v>70</v>
      </c>
      <c r="B54" s="59">
        <v>1.57</v>
      </c>
      <c r="C54" s="57">
        <v>2.4900000000000002</v>
      </c>
      <c r="D54" s="57">
        <v>3.81</v>
      </c>
      <c r="E54" s="57">
        <v>4.9000000000000004</v>
      </c>
      <c r="F54" s="57">
        <v>6.58</v>
      </c>
      <c r="G54" s="57">
        <v>8.3800000000000008</v>
      </c>
      <c r="H54" s="57">
        <v>10.33</v>
      </c>
      <c r="I54" s="57">
        <v>12.78</v>
      </c>
      <c r="J54" s="57">
        <v>15.95</v>
      </c>
      <c r="K54" s="57">
        <v>19.579999999999998</v>
      </c>
      <c r="L54" s="57">
        <v>23.02</v>
      </c>
      <c r="M54" s="57">
        <v>26.75</v>
      </c>
      <c r="N54" s="57">
        <v>30.81</v>
      </c>
      <c r="O54" s="57">
        <v>36.520000000000003</v>
      </c>
      <c r="P54" s="57">
        <v>44.46</v>
      </c>
      <c r="Q54" s="49">
        <v>53.19</v>
      </c>
      <c r="R54" s="57">
        <v>60.47</v>
      </c>
      <c r="S54" s="57">
        <v>68.64</v>
      </c>
      <c r="T54" s="57">
        <v>78.209999999999994</v>
      </c>
      <c r="U54" s="57">
        <v>88.84</v>
      </c>
      <c r="V54" s="57">
        <v>100.49</v>
      </c>
      <c r="W54" s="57">
        <v>112.92</v>
      </c>
      <c r="X54" s="57">
        <v>126.41</v>
      </c>
      <c r="Y54" s="57">
        <v>140.96</v>
      </c>
      <c r="Z54" s="57">
        <v>155.80000000000001</v>
      </c>
      <c r="AA54" s="57">
        <v>171.79</v>
      </c>
      <c r="AB54" s="58">
        <v>95</v>
      </c>
    </row>
    <row r="55" spans="1:28">
      <c r="A55" s="52">
        <v>71</v>
      </c>
      <c r="B55" s="45">
        <v>1.74</v>
      </c>
      <c r="C55" s="41">
        <v>2.63</v>
      </c>
      <c r="D55" s="41">
        <v>4.03</v>
      </c>
      <c r="E55" s="41">
        <v>5.47</v>
      </c>
      <c r="F55" s="41">
        <v>7.44</v>
      </c>
      <c r="G55" s="41">
        <v>9.3699999999999992</v>
      </c>
      <c r="H55" s="41">
        <v>11.6</v>
      </c>
      <c r="I55" s="41">
        <v>14.53</v>
      </c>
      <c r="J55" s="41">
        <v>18.28</v>
      </c>
      <c r="K55" s="41">
        <v>22.43</v>
      </c>
      <c r="L55" s="41">
        <v>26.53</v>
      </c>
      <c r="M55" s="41">
        <v>30.44</v>
      </c>
      <c r="N55" s="41">
        <v>36.01</v>
      </c>
      <c r="O55" s="41">
        <v>43.11</v>
      </c>
      <c r="P55" s="41">
        <v>51.93</v>
      </c>
      <c r="Q55" s="53">
        <v>60.47</v>
      </c>
      <c r="R55" s="41">
        <v>68.64</v>
      </c>
      <c r="S55" s="41">
        <v>78.209999999999994</v>
      </c>
      <c r="T55" s="41">
        <v>88.84</v>
      </c>
      <c r="U55" s="41">
        <v>100.49</v>
      </c>
      <c r="V55" s="41">
        <v>112.92</v>
      </c>
      <c r="W55" s="41">
        <v>126.41</v>
      </c>
      <c r="X55" s="41">
        <v>140.96</v>
      </c>
      <c r="Y55" s="41">
        <v>155.80000000000001</v>
      </c>
      <c r="Z55" s="41">
        <v>171.79</v>
      </c>
      <c r="AA55" s="41">
        <v>191.55</v>
      </c>
      <c r="AB55" s="54">
        <v>96</v>
      </c>
    </row>
    <row r="56" spans="1:28">
      <c r="A56" s="55">
        <v>72</v>
      </c>
      <c r="B56" s="59">
        <v>1.93</v>
      </c>
      <c r="C56" s="57">
        <v>2.82</v>
      </c>
      <c r="D56" s="57">
        <v>4.3099999999999996</v>
      </c>
      <c r="E56" s="57">
        <v>6.25</v>
      </c>
      <c r="F56" s="57">
        <v>8.33</v>
      </c>
      <c r="G56" s="57">
        <v>10.4</v>
      </c>
      <c r="H56" s="57">
        <v>12.96</v>
      </c>
      <c r="I56" s="57">
        <v>16.440000000000001</v>
      </c>
      <c r="J56" s="57">
        <v>20.86</v>
      </c>
      <c r="K56" s="57">
        <v>25.72</v>
      </c>
      <c r="L56" s="57">
        <v>30.24</v>
      </c>
      <c r="M56" s="57">
        <v>34.479999999999997</v>
      </c>
      <c r="N56" s="57">
        <v>41.15</v>
      </c>
      <c r="O56" s="57">
        <v>49.78</v>
      </c>
      <c r="P56" s="57">
        <v>59.5</v>
      </c>
      <c r="Q56" s="56">
        <v>68.64</v>
      </c>
      <c r="R56" s="57">
        <v>78.209999999999994</v>
      </c>
      <c r="S56" s="57">
        <v>88.84</v>
      </c>
      <c r="T56" s="57">
        <v>100.49</v>
      </c>
      <c r="U56" s="57">
        <v>112.92</v>
      </c>
      <c r="V56" s="57">
        <v>126.41</v>
      </c>
      <c r="W56" s="57">
        <v>140.96</v>
      </c>
      <c r="X56" s="57">
        <v>155.80000000000001</v>
      </c>
      <c r="Y56" s="57">
        <v>171.79</v>
      </c>
      <c r="Z56" s="57">
        <v>191.55</v>
      </c>
      <c r="AA56" s="57">
        <v>213.29</v>
      </c>
      <c r="AB56" s="58">
        <v>97</v>
      </c>
    </row>
    <row r="57" spans="1:28">
      <c r="A57" s="52">
        <v>73</v>
      </c>
      <c r="B57" s="45">
        <v>2.14</v>
      </c>
      <c r="C57" s="41">
        <v>3.06</v>
      </c>
      <c r="D57" s="41">
        <v>4.6900000000000004</v>
      </c>
      <c r="E57" s="41">
        <v>7.1</v>
      </c>
      <c r="F57" s="41">
        <v>9.26</v>
      </c>
      <c r="G57" s="41">
        <v>11.48</v>
      </c>
      <c r="H57" s="41">
        <v>14.42</v>
      </c>
      <c r="I57" s="41">
        <v>18.52</v>
      </c>
      <c r="J57" s="41">
        <v>23.82</v>
      </c>
      <c r="K57" s="41">
        <v>29.33</v>
      </c>
      <c r="L57" s="41">
        <v>34.22</v>
      </c>
      <c r="M57" s="41">
        <v>39.92</v>
      </c>
      <c r="N57" s="41">
        <v>47.97</v>
      </c>
      <c r="O57" s="41">
        <v>57.89</v>
      </c>
      <c r="P57" s="60">
        <v>68.64</v>
      </c>
      <c r="Q57" s="41">
        <v>78.209999999999994</v>
      </c>
      <c r="R57" s="41">
        <v>88.84</v>
      </c>
      <c r="S57" s="41">
        <v>100.49</v>
      </c>
      <c r="T57" s="41">
        <v>112.92</v>
      </c>
      <c r="U57" s="41">
        <v>126.41</v>
      </c>
      <c r="V57" s="41">
        <v>140.96</v>
      </c>
      <c r="W57" s="41">
        <v>155.80000000000001</v>
      </c>
      <c r="X57" s="41">
        <v>171.79</v>
      </c>
      <c r="Y57" s="41">
        <v>191.55</v>
      </c>
      <c r="Z57" s="41">
        <v>213.29</v>
      </c>
      <c r="AA57" s="41">
        <v>237.02</v>
      </c>
      <c r="AB57" s="54">
        <v>98</v>
      </c>
    </row>
    <row r="58" spans="1:28">
      <c r="A58" s="55">
        <v>74</v>
      </c>
      <c r="B58" s="59">
        <v>2.46</v>
      </c>
      <c r="C58" s="57">
        <v>3.37</v>
      </c>
      <c r="D58" s="57">
        <v>5.18</v>
      </c>
      <c r="E58" s="57">
        <v>8</v>
      </c>
      <c r="F58" s="57">
        <v>10.23</v>
      </c>
      <c r="G58" s="57">
        <v>12.63</v>
      </c>
      <c r="H58" s="57">
        <v>16.03</v>
      </c>
      <c r="I58" s="57">
        <v>20.95</v>
      </c>
      <c r="J58" s="57">
        <v>27.13</v>
      </c>
      <c r="K58" s="57">
        <v>33.299999999999997</v>
      </c>
      <c r="L58" s="57">
        <v>38.65</v>
      </c>
      <c r="M58" s="57">
        <v>45.47</v>
      </c>
      <c r="N58" s="57">
        <v>54.75</v>
      </c>
      <c r="O58" s="57">
        <v>66.19</v>
      </c>
      <c r="P58" s="56">
        <v>78.209999999999994</v>
      </c>
      <c r="Q58" s="57">
        <v>88.84</v>
      </c>
      <c r="R58" s="57">
        <v>100.49</v>
      </c>
      <c r="S58" s="57">
        <v>112.92</v>
      </c>
      <c r="T58" s="57">
        <v>126.41</v>
      </c>
      <c r="U58" s="57">
        <v>140.96</v>
      </c>
      <c r="V58" s="57">
        <v>155.80000000000001</v>
      </c>
      <c r="W58" s="57">
        <v>171.79</v>
      </c>
      <c r="X58" s="57">
        <v>191.55</v>
      </c>
      <c r="Y58" s="57">
        <v>213.29</v>
      </c>
      <c r="Z58" s="57">
        <v>237.02</v>
      </c>
      <c r="AA58" s="57">
        <v>262.44</v>
      </c>
      <c r="AB58" s="58">
        <v>99</v>
      </c>
    </row>
    <row r="59" spans="1:28">
      <c r="A59" s="52">
        <v>75</v>
      </c>
      <c r="B59" s="45">
        <v>2.83</v>
      </c>
      <c r="C59" s="41">
        <v>3.71</v>
      </c>
      <c r="D59" s="41">
        <v>5.81</v>
      </c>
      <c r="E59" s="41">
        <v>8.98</v>
      </c>
      <c r="F59" s="41">
        <v>11.25</v>
      </c>
      <c r="G59" s="41">
        <v>13.88</v>
      </c>
      <c r="H59" s="41">
        <v>17.91</v>
      </c>
      <c r="I59" s="41">
        <v>23.71</v>
      </c>
      <c r="J59" s="41">
        <v>30.85</v>
      </c>
      <c r="K59" s="41">
        <v>37.770000000000003</v>
      </c>
      <c r="L59" s="41">
        <v>43.52</v>
      </c>
      <c r="M59" s="41">
        <v>51.68</v>
      </c>
      <c r="N59" s="41">
        <v>62.39</v>
      </c>
      <c r="O59" s="41">
        <v>75.77</v>
      </c>
      <c r="P59" s="53">
        <v>88.84</v>
      </c>
      <c r="Q59" s="41">
        <v>100.49</v>
      </c>
      <c r="R59" s="41">
        <v>112.92</v>
      </c>
      <c r="S59" s="41">
        <v>126.41</v>
      </c>
      <c r="T59" s="41">
        <v>140.96</v>
      </c>
      <c r="U59" s="41">
        <v>155.80000000000001</v>
      </c>
      <c r="V59" s="41">
        <v>171.79</v>
      </c>
      <c r="W59" s="41">
        <v>191.55</v>
      </c>
      <c r="X59" s="41">
        <v>213.29</v>
      </c>
      <c r="Y59" s="41">
        <v>237.02</v>
      </c>
      <c r="Z59" s="41">
        <v>262.44</v>
      </c>
      <c r="AA59" s="41">
        <v>289.19</v>
      </c>
      <c r="AB59" s="54">
        <v>100</v>
      </c>
    </row>
    <row r="60" spans="1:28">
      <c r="A60" s="55">
        <v>76</v>
      </c>
      <c r="B60" s="59">
        <v>3.25</v>
      </c>
      <c r="C60" s="57">
        <v>4.1500000000000004</v>
      </c>
      <c r="D60" s="57">
        <v>6.58</v>
      </c>
      <c r="E60" s="57">
        <v>10.02</v>
      </c>
      <c r="F60" s="57">
        <v>12.33</v>
      </c>
      <c r="G60" s="57">
        <v>15.35</v>
      </c>
      <c r="H60" s="57">
        <v>20.059999999999999</v>
      </c>
      <c r="I60" s="57">
        <v>26.84</v>
      </c>
      <c r="J60" s="57">
        <v>35.1</v>
      </c>
      <c r="K60" s="57">
        <v>42.76</v>
      </c>
      <c r="L60" s="57">
        <v>50.26</v>
      </c>
      <c r="M60" s="57">
        <v>60.33</v>
      </c>
      <c r="N60" s="57">
        <v>72.819999999999993</v>
      </c>
      <c r="O60" s="57">
        <v>86.85</v>
      </c>
      <c r="P60" s="56">
        <v>100.49</v>
      </c>
      <c r="Q60" s="57">
        <v>112.92</v>
      </c>
      <c r="R60" s="57">
        <v>126.41</v>
      </c>
      <c r="S60" s="57">
        <v>140.96</v>
      </c>
      <c r="T60" s="57">
        <v>155.80000000000001</v>
      </c>
      <c r="U60" s="57">
        <v>171.79</v>
      </c>
      <c r="V60" s="57">
        <v>191.55</v>
      </c>
      <c r="W60" s="57">
        <v>213.29</v>
      </c>
      <c r="X60" s="57">
        <v>237.02</v>
      </c>
      <c r="Y60" s="57">
        <v>262.44</v>
      </c>
      <c r="Z60" s="57">
        <v>289.19</v>
      </c>
      <c r="AA60" s="57">
        <v>313.3</v>
      </c>
      <c r="AB60" s="58">
        <v>101</v>
      </c>
    </row>
    <row r="61" spans="1:28">
      <c r="A61" s="52">
        <v>77</v>
      </c>
      <c r="B61" s="45">
        <v>3.68</v>
      </c>
      <c r="C61" s="41">
        <v>4.6500000000000004</v>
      </c>
      <c r="D61" s="41">
        <v>7.53</v>
      </c>
      <c r="E61" s="41">
        <v>11.13</v>
      </c>
      <c r="F61" s="41">
        <v>13.59</v>
      </c>
      <c r="G61" s="41">
        <v>17.02</v>
      </c>
      <c r="H61" s="41">
        <v>22.54</v>
      </c>
      <c r="I61" s="41">
        <v>30.52</v>
      </c>
      <c r="J61" s="41">
        <v>39.99</v>
      </c>
      <c r="K61" s="41">
        <v>48.36</v>
      </c>
      <c r="L61" s="41">
        <v>58.77</v>
      </c>
      <c r="M61" s="41">
        <v>70.67</v>
      </c>
      <c r="N61" s="41">
        <v>84.79</v>
      </c>
      <c r="O61" s="60">
        <v>100.49</v>
      </c>
      <c r="P61" s="41">
        <v>112.92</v>
      </c>
      <c r="Q61" s="41">
        <v>126.41</v>
      </c>
      <c r="R61" s="41">
        <v>140.96</v>
      </c>
      <c r="S61" s="41">
        <v>155.80000000000001</v>
      </c>
      <c r="T61" s="41">
        <v>171.79</v>
      </c>
      <c r="U61" s="41">
        <v>191.55</v>
      </c>
      <c r="V61" s="41">
        <v>213.29</v>
      </c>
      <c r="W61" s="41">
        <v>237.02</v>
      </c>
      <c r="X61" s="41">
        <v>262.44</v>
      </c>
      <c r="Y61" s="41">
        <v>289.19</v>
      </c>
      <c r="Z61" s="41">
        <v>313.3</v>
      </c>
      <c r="AA61" s="41">
        <v>337.47</v>
      </c>
      <c r="AB61" s="54">
        <v>102</v>
      </c>
    </row>
    <row r="62" spans="1:28">
      <c r="A62" s="55">
        <v>78</v>
      </c>
      <c r="B62" s="59">
        <v>4.1500000000000004</v>
      </c>
      <c r="C62" s="57">
        <v>5.3</v>
      </c>
      <c r="D62" s="57">
        <v>8.65</v>
      </c>
      <c r="E62" s="57">
        <v>12.38</v>
      </c>
      <c r="F62" s="57">
        <v>14.99</v>
      </c>
      <c r="G62" s="57">
        <v>18.95</v>
      </c>
      <c r="H62" s="57">
        <v>25.49</v>
      </c>
      <c r="I62" s="57">
        <v>34.86</v>
      </c>
      <c r="J62" s="57">
        <v>45.65</v>
      </c>
      <c r="K62" s="57">
        <v>55.6</v>
      </c>
      <c r="L62" s="57">
        <v>67.680000000000007</v>
      </c>
      <c r="M62" s="57">
        <v>81.900000000000006</v>
      </c>
      <c r="N62" s="57">
        <v>98.96</v>
      </c>
      <c r="O62" s="56">
        <v>112.92</v>
      </c>
      <c r="P62" s="57">
        <v>126.41</v>
      </c>
      <c r="Q62" s="57">
        <v>140.96</v>
      </c>
      <c r="R62" s="57">
        <v>155.80000000000001</v>
      </c>
      <c r="S62" s="57">
        <v>171.79</v>
      </c>
      <c r="T62" s="57">
        <v>191.55</v>
      </c>
      <c r="U62" s="57">
        <v>213.29</v>
      </c>
      <c r="V62" s="57">
        <v>237.02</v>
      </c>
      <c r="W62" s="57">
        <v>262.44</v>
      </c>
      <c r="X62" s="57">
        <v>289.19</v>
      </c>
      <c r="Y62" s="57">
        <v>313.3</v>
      </c>
      <c r="Z62" s="57">
        <v>337.47</v>
      </c>
      <c r="AA62" s="57">
        <v>361.33</v>
      </c>
      <c r="AB62" s="58">
        <v>103</v>
      </c>
    </row>
    <row r="63" spans="1:28">
      <c r="A63" s="52">
        <v>79</v>
      </c>
      <c r="B63" s="45">
        <v>4.63</v>
      </c>
      <c r="C63" s="41">
        <v>6.07</v>
      </c>
      <c r="D63" s="41">
        <v>10.02</v>
      </c>
      <c r="E63" s="41">
        <v>13.75</v>
      </c>
      <c r="F63" s="41">
        <v>16.559999999999999</v>
      </c>
      <c r="G63" s="41">
        <v>21.27</v>
      </c>
      <c r="H63" s="41">
        <v>29.07</v>
      </c>
      <c r="I63" s="41">
        <v>40.06</v>
      </c>
      <c r="J63" s="41">
        <v>52.17</v>
      </c>
      <c r="K63" s="41">
        <v>65.09</v>
      </c>
      <c r="L63" s="41">
        <v>79.98</v>
      </c>
      <c r="M63" s="41">
        <v>97.27</v>
      </c>
      <c r="N63" s="60">
        <v>112.92</v>
      </c>
      <c r="O63" s="41">
        <v>126.41</v>
      </c>
      <c r="P63" s="41">
        <v>140.96</v>
      </c>
      <c r="Q63" s="41">
        <v>155.80000000000001</v>
      </c>
      <c r="R63" s="41">
        <v>171.79</v>
      </c>
      <c r="S63" s="41">
        <v>191.55</v>
      </c>
      <c r="T63" s="41">
        <v>213.29</v>
      </c>
      <c r="U63" s="41">
        <v>237.02</v>
      </c>
      <c r="V63" s="41">
        <v>262.44</v>
      </c>
      <c r="W63" s="41">
        <v>289.19</v>
      </c>
      <c r="X63" s="41">
        <v>313.3</v>
      </c>
      <c r="Y63" s="41">
        <v>337.47</v>
      </c>
      <c r="Z63" s="41">
        <v>361.33</v>
      </c>
      <c r="AA63" s="41">
        <v>384.5</v>
      </c>
      <c r="AB63" s="54">
        <v>104</v>
      </c>
    </row>
    <row r="64" spans="1:28">
      <c r="A64" s="55">
        <v>80</v>
      </c>
      <c r="B64" s="59">
        <v>4.8</v>
      </c>
      <c r="C64" s="57">
        <v>7.02</v>
      </c>
      <c r="D64" s="57">
        <v>11.59</v>
      </c>
      <c r="E64" s="57">
        <v>15.21</v>
      </c>
      <c r="F64" s="57">
        <v>18.41</v>
      </c>
      <c r="G64" s="57">
        <v>24.08</v>
      </c>
      <c r="H64" s="57">
        <v>33.46</v>
      </c>
      <c r="I64" s="57">
        <v>46.3</v>
      </c>
      <c r="J64" s="57">
        <v>61.1</v>
      </c>
      <c r="K64" s="57">
        <v>77.13</v>
      </c>
      <c r="L64" s="57">
        <v>94.66</v>
      </c>
      <c r="M64" s="49">
        <v>112.92</v>
      </c>
      <c r="N64" s="57">
        <v>126.41</v>
      </c>
      <c r="O64" s="57">
        <v>140.96</v>
      </c>
      <c r="P64" s="57">
        <v>155.80000000000001</v>
      </c>
      <c r="Q64" s="57">
        <v>171.79</v>
      </c>
      <c r="R64" s="57">
        <v>191.55</v>
      </c>
      <c r="S64" s="57">
        <v>213.29</v>
      </c>
      <c r="T64" s="57">
        <v>237.02</v>
      </c>
      <c r="U64" s="57">
        <v>262.44</v>
      </c>
      <c r="V64" s="57">
        <v>289.19</v>
      </c>
      <c r="W64" s="57">
        <v>313.3</v>
      </c>
      <c r="X64" s="57">
        <v>337.47</v>
      </c>
      <c r="Y64" s="57">
        <v>361.33</v>
      </c>
      <c r="Z64" s="57">
        <v>384.5</v>
      </c>
      <c r="AA64" s="57">
        <v>406.6</v>
      </c>
      <c r="AB64" s="58">
        <v>105</v>
      </c>
    </row>
    <row r="65" spans="1:28">
      <c r="A65" s="52">
        <v>81</v>
      </c>
      <c r="B65" s="45">
        <v>5.24</v>
      </c>
      <c r="C65" s="41">
        <v>8.1199999999999992</v>
      </c>
      <c r="D65" s="41">
        <v>13.35</v>
      </c>
      <c r="E65" s="41">
        <v>16.84</v>
      </c>
      <c r="F65" s="41">
        <v>20.59</v>
      </c>
      <c r="G65" s="41">
        <v>27.85</v>
      </c>
      <c r="H65" s="41">
        <v>38.880000000000003</v>
      </c>
      <c r="I65" s="41">
        <v>53.94</v>
      </c>
      <c r="J65" s="41">
        <v>70.62</v>
      </c>
      <c r="K65" s="41">
        <v>88.92</v>
      </c>
      <c r="L65" s="41">
        <v>110.02</v>
      </c>
      <c r="M65" s="53">
        <v>126.41</v>
      </c>
      <c r="N65" s="41">
        <v>140.96</v>
      </c>
      <c r="O65" s="41">
        <v>155.80000000000001</v>
      </c>
      <c r="P65" s="41">
        <v>171.79</v>
      </c>
      <c r="Q65" s="41">
        <v>191.55</v>
      </c>
      <c r="R65" s="41">
        <v>213.29</v>
      </c>
      <c r="S65" s="41">
        <v>237.02</v>
      </c>
      <c r="T65" s="41">
        <v>262.44</v>
      </c>
      <c r="U65" s="41">
        <v>289.19</v>
      </c>
      <c r="V65" s="41">
        <v>313.3</v>
      </c>
      <c r="W65" s="41">
        <v>337.47</v>
      </c>
      <c r="X65" s="41">
        <v>361.33</v>
      </c>
      <c r="Y65" s="41">
        <v>384.5</v>
      </c>
      <c r="Z65" s="41">
        <v>406.6</v>
      </c>
      <c r="AA65" s="41">
        <v>427.26</v>
      </c>
      <c r="AB65" s="54">
        <v>106</v>
      </c>
    </row>
    <row r="66" spans="1:28">
      <c r="A66" s="55">
        <v>82</v>
      </c>
      <c r="B66" s="59">
        <v>5.79</v>
      </c>
      <c r="C66" s="57">
        <v>9.3800000000000008</v>
      </c>
      <c r="D66" s="57">
        <v>15.28</v>
      </c>
      <c r="E66" s="57">
        <v>18.63</v>
      </c>
      <c r="F66" s="57">
        <v>24.43</v>
      </c>
      <c r="G66" s="57">
        <v>33.020000000000003</v>
      </c>
      <c r="H66" s="57">
        <v>45.74</v>
      </c>
      <c r="I66" s="57">
        <v>63.59</v>
      </c>
      <c r="J66" s="57">
        <v>84.24</v>
      </c>
      <c r="K66" s="57">
        <v>106.85</v>
      </c>
      <c r="L66" s="49">
        <v>126.41</v>
      </c>
      <c r="M66" s="57">
        <v>140.96</v>
      </c>
      <c r="N66" s="57">
        <v>155.80000000000001</v>
      </c>
      <c r="O66" s="57">
        <v>171.79</v>
      </c>
      <c r="P66" s="57">
        <v>191.55</v>
      </c>
      <c r="Q66" s="57">
        <v>213.29</v>
      </c>
      <c r="R66" s="57">
        <v>237.02</v>
      </c>
      <c r="S66" s="57">
        <v>262.44</v>
      </c>
      <c r="T66" s="57">
        <v>289.19</v>
      </c>
      <c r="U66" s="57">
        <v>313.3</v>
      </c>
      <c r="V66" s="57">
        <v>337.47</v>
      </c>
      <c r="W66" s="57">
        <v>361.33</v>
      </c>
      <c r="X66" s="57">
        <v>384.5</v>
      </c>
      <c r="Y66" s="57">
        <v>406.6</v>
      </c>
      <c r="Z66" s="57">
        <v>427.26</v>
      </c>
      <c r="AA66" s="57">
        <v>446.11</v>
      </c>
      <c r="AB66" s="58">
        <v>107</v>
      </c>
    </row>
    <row r="67" spans="1:28">
      <c r="A67" s="52">
        <v>83</v>
      </c>
      <c r="B67" s="45">
        <v>6.64</v>
      </c>
      <c r="C67" s="41">
        <v>10.85</v>
      </c>
      <c r="D67" s="41">
        <v>17.670000000000002</v>
      </c>
      <c r="E67" s="41">
        <v>22.47</v>
      </c>
      <c r="F67" s="41">
        <v>28.97</v>
      </c>
      <c r="G67" s="41">
        <v>39.18</v>
      </c>
      <c r="H67" s="41">
        <v>55.44</v>
      </c>
      <c r="I67" s="41">
        <v>78.290000000000006</v>
      </c>
      <c r="J67" s="41">
        <v>104.02</v>
      </c>
      <c r="K67" s="60">
        <v>126.41</v>
      </c>
      <c r="L67" s="41">
        <v>140.96</v>
      </c>
      <c r="M67" s="41">
        <v>155.80000000000001</v>
      </c>
      <c r="N67" s="41">
        <v>171.79</v>
      </c>
      <c r="O67" s="41">
        <v>191.55</v>
      </c>
      <c r="P67" s="41">
        <v>213.29</v>
      </c>
      <c r="Q67" s="41">
        <v>237.02</v>
      </c>
      <c r="R67" s="41">
        <v>262.44</v>
      </c>
      <c r="S67" s="41">
        <v>289.19</v>
      </c>
      <c r="T67" s="41">
        <v>313.3</v>
      </c>
      <c r="U67" s="41">
        <v>337.47</v>
      </c>
      <c r="V67" s="41">
        <v>361.33</v>
      </c>
      <c r="W67" s="41">
        <v>384.5</v>
      </c>
      <c r="X67" s="41">
        <v>406.6</v>
      </c>
      <c r="Y67" s="41">
        <v>427.26</v>
      </c>
      <c r="Z67" s="41">
        <v>446.11</v>
      </c>
      <c r="AA67" s="41">
        <v>462.77</v>
      </c>
      <c r="AB67" s="54">
        <v>108</v>
      </c>
    </row>
    <row r="68" spans="1:28">
      <c r="A68" s="55">
        <v>84</v>
      </c>
      <c r="B68" s="59">
        <v>7.79</v>
      </c>
      <c r="C68" s="57">
        <v>12.55</v>
      </c>
      <c r="D68" s="57">
        <v>20.43</v>
      </c>
      <c r="E68" s="57">
        <v>27.1</v>
      </c>
      <c r="F68" s="57">
        <v>34.96</v>
      </c>
      <c r="G68" s="57">
        <v>47.59</v>
      </c>
      <c r="H68" s="57">
        <v>71.41</v>
      </c>
      <c r="I68" s="57">
        <v>99.94</v>
      </c>
      <c r="J68" s="49">
        <v>126.41</v>
      </c>
      <c r="K68" s="57">
        <v>140.96</v>
      </c>
      <c r="L68" s="57">
        <v>155.80000000000001</v>
      </c>
      <c r="M68" s="57">
        <v>171.79</v>
      </c>
      <c r="N68" s="57">
        <v>191.55</v>
      </c>
      <c r="O68" s="57">
        <v>213.29</v>
      </c>
      <c r="P68" s="57">
        <v>237.02</v>
      </c>
      <c r="Q68" s="57">
        <v>262.44</v>
      </c>
      <c r="R68" s="57">
        <v>289.19</v>
      </c>
      <c r="S68" s="57">
        <v>313.3</v>
      </c>
      <c r="T68" s="57">
        <v>337.47</v>
      </c>
      <c r="U68" s="57">
        <v>361.33</v>
      </c>
      <c r="V68" s="57">
        <v>384.5</v>
      </c>
      <c r="W68" s="57">
        <v>406.6</v>
      </c>
      <c r="X68" s="57">
        <v>427.26</v>
      </c>
      <c r="Y68" s="57">
        <v>446.11</v>
      </c>
      <c r="Z68" s="57">
        <v>462.77</v>
      </c>
      <c r="AA68" s="57">
        <v>476.86</v>
      </c>
      <c r="AB68" s="58">
        <v>109</v>
      </c>
    </row>
    <row r="69" spans="1:28">
      <c r="A69" s="52">
        <v>85</v>
      </c>
      <c r="B69" s="45">
        <v>8.86</v>
      </c>
      <c r="C69" s="41">
        <v>14.75</v>
      </c>
      <c r="D69" s="41">
        <v>24.63</v>
      </c>
      <c r="E69" s="41">
        <v>32.700000000000003</v>
      </c>
      <c r="F69" s="41">
        <v>42.19</v>
      </c>
      <c r="G69" s="41">
        <v>60.18</v>
      </c>
      <c r="H69" s="41">
        <v>91</v>
      </c>
      <c r="I69" s="41">
        <v>119.08</v>
      </c>
      <c r="J69" s="53">
        <v>140.96</v>
      </c>
      <c r="K69" s="41">
        <v>155.80000000000001</v>
      </c>
      <c r="L69" s="41">
        <v>171.79</v>
      </c>
      <c r="M69" s="41">
        <v>191.55</v>
      </c>
      <c r="N69" s="41">
        <v>213.29</v>
      </c>
      <c r="O69" s="41">
        <v>237.02</v>
      </c>
      <c r="P69" s="41">
        <v>262.44</v>
      </c>
      <c r="Q69" s="41">
        <v>289.19</v>
      </c>
      <c r="R69" s="41">
        <v>313.3</v>
      </c>
      <c r="S69" s="41">
        <v>337.47</v>
      </c>
      <c r="T69" s="41">
        <v>361.33</v>
      </c>
      <c r="U69" s="41">
        <v>384.5</v>
      </c>
      <c r="V69" s="41">
        <v>406.6</v>
      </c>
      <c r="W69" s="41">
        <v>427.26</v>
      </c>
      <c r="X69" s="41">
        <v>446.11</v>
      </c>
      <c r="Y69" s="41">
        <v>462.77</v>
      </c>
      <c r="Z69" s="41">
        <v>476.86</v>
      </c>
      <c r="AA69" s="41">
        <v>488</v>
      </c>
      <c r="AB69" s="54">
        <v>110</v>
      </c>
    </row>
    <row r="70" spans="1:28">
      <c r="A70" s="55">
        <v>86</v>
      </c>
      <c r="B70" s="59">
        <v>9.8000000000000007</v>
      </c>
      <c r="C70" s="57">
        <v>17.78</v>
      </c>
      <c r="D70" s="57">
        <v>29.72</v>
      </c>
      <c r="E70" s="57">
        <v>39.46</v>
      </c>
      <c r="F70" s="57">
        <v>53.03</v>
      </c>
      <c r="G70" s="57">
        <v>82.86</v>
      </c>
      <c r="H70" s="57">
        <v>112.18</v>
      </c>
      <c r="I70" s="49">
        <v>140.96</v>
      </c>
      <c r="J70" s="57">
        <v>155.80000000000001</v>
      </c>
      <c r="K70" s="57">
        <v>171.79</v>
      </c>
      <c r="L70" s="57">
        <v>191.55</v>
      </c>
      <c r="M70" s="57">
        <v>213.29</v>
      </c>
      <c r="N70" s="57">
        <v>237.02</v>
      </c>
      <c r="O70" s="57">
        <v>262.44</v>
      </c>
      <c r="P70" s="57">
        <v>289.19</v>
      </c>
      <c r="Q70" s="57">
        <v>313.3</v>
      </c>
      <c r="R70" s="57">
        <v>337.47</v>
      </c>
      <c r="S70" s="57">
        <v>361.33</v>
      </c>
      <c r="T70" s="57">
        <v>384.5</v>
      </c>
      <c r="U70" s="57">
        <v>406.6</v>
      </c>
      <c r="V70" s="57">
        <v>427.26</v>
      </c>
      <c r="W70" s="57">
        <v>446.11</v>
      </c>
      <c r="X70" s="57">
        <v>462.77</v>
      </c>
      <c r="Y70" s="57">
        <v>476.86</v>
      </c>
      <c r="Z70" s="57">
        <v>488</v>
      </c>
      <c r="AA70" s="57">
        <v>495.83</v>
      </c>
      <c r="AB70" s="58">
        <v>111</v>
      </c>
    </row>
    <row r="71" spans="1:28">
      <c r="A71" s="52">
        <v>87</v>
      </c>
      <c r="B71" s="45">
        <v>10.83</v>
      </c>
      <c r="C71" s="41">
        <v>21.46</v>
      </c>
      <c r="D71" s="41">
        <v>35.869999999999997</v>
      </c>
      <c r="E71" s="41">
        <v>47.62</v>
      </c>
      <c r="F71" s="41">
        <v>71.260000000000005</v>
      </c>
      <c r="G71" s="41">
        <v>108.43</v>
      </c>
      <c r="H71" s="60">
        <v>140.96</v>
      </c>
      <c r="I71" s="41">
        <v>155.80000000000001</v>
      </c>
      <c r="J71" s="41">
        <v>171.79</v>
      </c>
      <c r="K71" s="41">
        <v>191.55</v>
      </c>
      <c r="L71" s="41">
        <v>213.29</v>
      </c>
      <c r="M71" s="41">
        <v>237.02</v>
      </c>
      <c r="N71" s="41">
        <v>262.44</v>
      </c>
      <c r="O71" s="41">
        <v>289.19</v>
      </c>
      <c r="P71" s="41">
        <v>313.3</v>
      </c>
      <c r="Q71" s="41">
        <v>337.47</v>
      </c>
      <c r="R71" s="41">
        <v>361.33</v>
      </c>
      <c r="S71" s="41">
        <v>384.5</v>
      </c>
      <c r="T71" s="41">
        <v>406.6</v>
      </c>
      <c r="U71" s="41">
        <v>427.26</v>
      </c>
      <c r="V71" s="41">
        <v>446.11</v>
      </c>
      <c r="W71" s="41">
        <v>462.77</v>
      </c>
      <c r="X71" s="41">
        <v>476.86</v>
      </c>
      <c r="Y71" s="41">
        <v>488</v>
      </c>
      <c r="Z71" s="41">
        <v>495.83</v>
      </c>
      <c r="AA71" s="41">
        <v>500</v>
      </c>
      <c r="AB71" s="54">
        <v>112</v>
      </c>
    </row>
    <row r="72" spans="1:28">
      <c r="A72" s="55">
        <v>88</v>
      </c>
      <c r="B72" s="59">
        <v>11.98</v>
      </c>
      <c r="C72" s="57">
        <v>25.89</v>
      </c>
      <c r="D72" s="57">
        <v>43.29</v>
      </c>
      <c r="E72" s="57">
        <v>62.4</v>
      </c>
      <c r="F72" s="57">
        <v>99.94</v>
      </c>
      <c r="G72" s="49">
        <v>140.96</v>
      </c>
      <c r="H72" s="57">
        <v>155.80000000000001</v>
      </c>
      <c r="I72" s="57">
        <v>171.79</v>
      </c>
      <c r="J72" s="57">
        <v>191.55</v>
      </c>
      <c r="K72" s="57">
        <v>213.29</v>
      </c>
      <c r="L72" s="57">
        <v>237.02</v>
      </c>
      <c r="M72" s="57">
        <v>262.44</v>
      </c>
      <c r="N72" s="57">
        <v>289.19</v>
      </c>
      <c r="O72" s="57">
        <v>313.3</v>
      </c>
      <c r="P72" s="57">
        <v>337.47</v>
      </c>
      <c r="Q72" s="57">
        <v>361.33</v>
      </c>
      <c r="R72" s="57">
        <v>384.5</v>
      </c>
      <c r="S72" s="57">
        <v>406.6</v>
      </c>
      <c r="T72" s="57">
        <v>427.26</v>
      </c>
      <c r="U72" s="57">
        <v>446.11</v>
      </c>
      <c r="V72" s="57">
        <v>462.77</v>
      </c>
      <c r="W72" s="57">
        <v>476.86</v>
      </c>
      <c r="X72" s="57">
        <v>488</v>
      </c>
      <c r="Y72" s="57">
        <v>495.83</v>
      </c>
      <c r="Z72" s="57">
        <v>500</v>
      </c>
      <c r="AA72" s="57">
        <v>500</v>
      </c>
      <c r="AB72" s="58">
        <v>113</v>
      </c>
    </row>
    <row r="73" spans="1:28">
      <c r="A73" s="52">
        <v>89</v>
      </c>
      <c r="B73" s="45">
        <v>13.26</v>
      </c>
      <c r="C73" s="41">
        <v>30.73</v>
      </c>
      <c r="D73" s="41">
        <v>52.19</v>
      </c>
      <c r="E73" s="41">
        <v>83.03</v>
      </c>
      <c r="F73" s="41">
        <v>130.65</v>
      </c>
      <c r="G73" s="53">
        <v>155.80000000000001</v>
      </c>
      <c r="H73" s="41">
        <v>171.79</v>
      </c>
      <c r="I73" s="41">
        <v>191.55</v>
      </c>
      <c r="J73" s="41">
        <v>213.29</v>
      </c>
      <c r="K73" s="41">
        <v>237.02</v>
      </c>
      <c r="L73" s="41">
        <v>262.44</v>
      </c>
      <c r="M73" s="41">
        <v>289.19</v>
      </c>
      <c r="N73" s="41">
        <v>313.3</v>
      </c>
      <c r="O73" s="41">
        <v>337.47</v>
      </c>
      <c r="P73" s="41">
        <v>361.33</v>
      </c>
      <c r="Q73" s="41">
        <v>384.5</v>
      </c>
      <c r="R73" s="41">
        <v>406.6</v>
      </c>
      <c r="S73" s="41">
        <v>427.26</v>
      </c>
      <c r="T73" s="41">
        <v>446.11</v>
      </c>
      <c r="U73" s="41">
        <v>462.77</v>
      </c>
      <c r="V73" s="41">
        <v>476.86</v>
      </c>
      <c r="W73" s="41">
        <v>488</v>
      </c>
      <c r="X73" s="41">
        <v>495.83</v>
      </c>
      <c r="Y73" s="41">
        <v>500</v>
      </c>
      <c r="Z73" s="41">
        <v>500</v>
      </c>
      <c r="AA73" s="41">
        <v>500</v>
      </c>
      <c r="AB73" s="54">
        <v>114</v>
      </c>
    </row>
    <row r="74" spans="1:28">
      <c r="A74" s="55">
        <v>90</v>
      </c>
      <c r="B74" s="59">
        <v>14.66</v>
      </c>
      <c r="C74" s="57">
        <v>36.43</v>
      </c>
      <c r="D74" s="57">
        <v>68.64</v>
      </c>
      <c r="E74" s="57">
        <v>114.5</v>
      </c>
      <c r="F74" s="49">
        <v>155.80000000000001</v>
      </c>
      <c r="G74" s="57">
        <v>171.79</v>
      </c>
      <c r="H74" s="57">
        <v>191.55</v>
      </c>
      <c r="I74" s="57">
        <v>213.29</v>
      </c>
      <c r="J74" s="57">
        <v>237.02</v>
      </c>
      <c r="K74" s="57">
        <v>262.44</v>
      </c>
      <c r="L74" s="57">
        <v>289.19</v>
      </c>
      <c r="M74" s="57">
        <v>313.3</v>
      </c>
      <c r="N74" s="57">
        <v>337.47</v>
      </c>
      <c r="O74" s="57">
        <v>361.33</v>
      </c>
      <c r="P74" s="57">
        <v>384.5</v>
      </c>
      <c r="Q74" s="57">
        <v>406.6</v>
      </c>
      <c r="R74" s="57">
        <v>427.26</v>
      </c>
      <c r="S74" s="57">
        <v>446.11</v>
      </c>
      <c r="T74" s="57">
        <v>462.77</v>
      </c>
      <c r="U74" s="57">
        <v>476.86</v>
      </c>
      <c r="V74" s="57">
        <v>488</v>
      </c>
      <c r="W74" s="57">
        <v>495.83</v>
      </c>
      <c r="X74" s="57">
        <v>500</v>
      </c>
      <c r="Y74" s="57">
        <v>500</v>
      </c>
      <c r="Z74" s="57">
        <v>500</v>
      </c>
      <c r="AA74" s="57">
        <v>500</v>
      </c>
      <c r="AB74" s="58">
        <v>115</v>
      </c>
    </row>
    <row r="75" spans="1:28">
      <c r="A75" s="52">
        <v>91</v>
      </c>
      <c r="B75" s="45">
        <v>18.739999999999998</v>
      </c>
      <c r="C75" s="41">
        <v>47.97</v>
      </c>
      <c r="D75" s="41">
        <v>105.72</v>
      </c>
      <c r="E75" s="60">
        <v>155.80000000000001</v>
      </c>
      <c r="F75" s="41">
        <v>171.79</v>
      </c>
      <c r="G75" s="41">
        <v>191.55</v>
      </c>
      <c r="H75" s="41">
        <v>213.29</v>
      </c>
      <c r="I75" s="41">
        <v>237.02</v>
      </c>
      <c r="J75" s="41">
        <v>262.44</v>
      </c>
      <c r="K75" s="41">
        <v>289.19</v>
      </c>
      <c r="L75" s="41">
        <v>313.3</v>
      </c>
      <c r="M75" s="41">
        <v>337.47</v>
      </c>
      <c r="N75" s="41">
        <v>361.33</v>
      </c>
      <c r="O75" s="41">
        <v>384.5</v>
      </c>
      <c r="P75" s="41">
        <v>406.6</v>
      </c>
      <c r="Q75" s="41">
        <v>427.26</v>
      </c>
      <c r="R75" s="41">
        <v>446.11</v>
      </c>
      <c r="S75" s="41">
        <v>462.77</v>
      </c>
      <c r="T75" s="41">
        <v>476.86</v>
      </c>
      <c r="U75" s="41">
        <v>488</v>
      </c>
      <c r="V75" s="41">
        <v>495.83</v>
      </c>
      <c r="W75" s="41">
        <v>500</v>
      </c>
      <c r="X75" s="41">
        <v>500</v>
      </c>
      <c r="Y75" s="41">
        <v>500</v>
      </c>
      <c r="Z75" s="41">
        <v>500</v>
      </c>
      <c r="AA75" s="41">
        <v>500</v>
      </c>
      <c r="AB75" s="54">
        <v>116</v>
      </c>
    </row>
    <row r="76" spans="1:28">
      <c r="A76" s="55">
        <v>92</v>
      </c>
      <c r="B76" s="59">
        <v>27.3</v>
      </c>
      <c r="C76" s="57">
        <v>73.72</v>
      </c>
      <c r="D76" s="49">
        <v>155.80000000000001</v>
      </c>
      <c r="E76" s="57">
        <v>171.79</v>
      </c>
      <c r="F76" s="57">
        <v>191.55</v>
      </c>
      <c r="G76" s="57">
        <v>213.29</v>
      </c>
      <c r="H76" s="57">
        <v>237.02</v>
      </c>
      <c r="I76" s="57">
        <v>262.44</v>
      </c>
      <c r="J76" s="57">
        <v>289.19</v>
      </c>
      <c r="K76" s="57">
        <v>313.3</v>
      </c>
      <c r="L76" s="57">
        <v>337.47</v>
      </c>
      <c r="M76" s="57">
        <v>361.33</v>
      </c>
      <c r="N76" s="57">
        <v>384.5</v>
      </c>
      <c r="O76" s="57">
        <v>406.6</v>
      </c>
      <c r="P76" s="57">
        <v>427.26</v>
      </c>
      <c r="Q76" s="57">
        <v>446.11</v>
      </c>
      <c r="R76" s="57">
        <v>462.77</v>
      </c>
      <c r="S76" s="57">
        <v>476.86</v>
      </c>
      <c r="T76" s="57">
        <v>488</v>
      </c>
      <c r="U76" s="57">
        <v>495.83</v>
      </c>
      <c r="V76" s="57">
        <v>500</v>
      </c>
      <c r="W76" s="57">
        <v>500</v>
      </c>
      <c r="X76" s="57">
        <v>500</v>
      </c>
      <c r="Y76" s="57">
        <v>500</v>
      </c>
      <c r="Z76" s="57">
        <v>500</v>
      </c>
      <c r="AA76" s="57">
        <v>500</v>
      </c>
      <c r="AB76" s="58">
        <v>117</v>
      </c>
    </row>
    <row r="77" spans="1:28">
      <c r="A77" s="52">
        <v>93</v>
      </c>
      <c r="B77" s="45">
        <v>41.72</v>
      </c>
      <c r="C77" s="41">
        <v>109.52</v>
      </c>
      <c r="D77" s="53">
        <v>171.79</v>
      </c>
      <c r="E77" s="41">
        <v>191.55</v>
      </c>
      <c r="F77" s="41">
        <v>213.29</v>
      </c>
      <c r="G77" s="41">
        <v>237.02</v>
      </c>
      <c r="H77" s="41">
        <v>262.44</v>
      </c>
      <c r="I77" s="41">
        <v>289.19</v>
      </c>
      <c r="J77" s="41">
        <v>313.3</v>
      </c>
      <c r="K77" s="41">
        <v>337.47</v>
      </c>
      <c r="L77" s="41">
        <v>361.33</v>
      </c>
      <c r="M77" s="41">
        <v>384.5</v>
      </c>
      <c r="N77" s="41">
        <v>406.6</v>
      </c>
      <c r="O77" s="41">
        <v>427.26</v>
      </c>
      <c r="P77" s="41">
        <v>446.11</v>
      </c>
      <c r="Q77" s="41">
        <v>462.77</v>
      </c>
      <c r="R77" s="41">
        <v>476.86</v>
      </c>
      <c r="S77" s="41">
        <v>488</v>
      </c>
      <c r="T77" s="41">
        <v>495.83</v>
      </c>
      <c r="U77" s="41">
        <v>500</v>
      </c>
      <c r="V77" s="41">
        <v>500</v>
      </c>
      <c r="W77" s="41">
        <v>500</v>
      </c>
      <c r="X77" s="41">
        <v>500</v>
      </c>
      <c r="Y77" s="41">
        <v>500</v>
      </c>
      <c r="Z77" s="41">
        <v>500</v>
      </c>
      <c r="AA77" s="41">
        <v>500</v>
      </c>
      <c r="AB77" s="54">
        <v>118</v>
      </c>
    </row>
    <row r="78" spans="1:28">
      <c r="A78" s="55">
        <v>94</v>
      </c>
      <c r="B78" s="59">
        <v>63.25</v>
      </c>
      <c r="C78" s="57">
        <v>132.79</v>
      </c>
      <c r="D78" s="56">
        <v>191.55</v>
      </c>
      <c r="E78" s="57">
        <v>213.29</v>
      </c>
      <c r="F78" s="57">
        <v>237.02</v>
      </c>
      <c r="G78" s="57">
        <v>262.44</v>
      </c>
      <c r="H78" s="57">
        <v>289.19</v>
      </c>
      <c r="I78" s="57">
        <v>313.3</v>
      </c>
      <c r="J78" s="57">
        <v>337.47</v>
      </c>
      <c r="K78" s="57">
        <v>361.33</v>
      </c>
      <c r="L78" s="57">
        <v>384.5</v>
      </c>
      <c r="M78" s="57">
        <v>406.6</v>
      </c>
      <c r="N78" s="57">
        <v>427.26</v>
      </c>
      <c r="O78" s="57">
        <v>446.11</v>
      </c>
      <c r="P78" s="57">
        <v>462.77</v>
      </c>
      <c r="Q78" s="57">
        <v>476.86</v>
      </c>
      <c r="R78" s="57">
        <v>488</v>
      </c>
      <c r="S78" s="57">
        <v>495.83</v>
      </c>
      <c r="T78" s="57">
        <v>500</v>
      </c>
      <c r="U78" s="57">
        <v>500</v>
      </c>
      <c r="V78" s="57">
        <v>500</v>
      </c>
      <c r="W78" s="57">
        <v>500</v>
      </c>
      <c r="X78" s="57">
        <v>500</v>
      </c>
      <c r="Y78" s="57">
        <v>500</v>
      </c>
      <c r="Z78" s="57">
        <v>500</v>
      </c>
      <c r="AA78" s="57">
        <v>500</v>
      </c>
      <c r="AB78" s="58">
        <v>119</v>
      </c>
    </row>
    <row r="79" spans="1:28">
      <c r="A79" s="61">
        <v>95</v>
      </c>
      <c r="B79" s="62">
        <v>93.79</v>
      </c>
      <c r="C79" s="63">
        <v>191.55</v>
      </c>
      <c r="D79" s="64">
        <v>213.29</v>
      </c>
      <c r="E79" s="64">
        <v>237.02</v>
      </c>
      <c r="F79" s="64">
        <v>262.44</v>
      </c>
      <c r="G79" s="64">
        <v>289.19</v>
      </c>
      <c r="H79" s="64">
        <v>313.3</v>
      </c>
      <c r="I79" s="64">
        <v>337.47</v>
      </c>
      <c r="J79" s="64">
        <v>361.33</v>
      </c>
      <c r="K79" s="64">
        <v>384.5</v>
      </c>
      <c r="L79" s="64">
        <v>406.6</v>
      </c>
      <c r="M79" s="64">
        <v>427.26</v>
      </c>
      <c r="N79" s="64">
        <v>446.11</v>
      </c>
      <c r="O79" s="64">
        <v>462.77</v>
      </c>
      <c r="P79" s="64">
        <v>476.86</v>
      </c>
      <c r="Q79" s="64">
        <v>488</v>
      </c>
      <c r="R79" s="64">
        <v>495.83</v>
      </c>
      <c r="S79" s="64">
        <v>500</v>
      </c>
      <c r="T79" s="64">
        <v>500</v>
      </c>
      <c r="U79" s="64">
        <v>500</v>
      </c>
      <c r="V79" s="64">
        <v>500</v>
      </c>
      <c r="W79" s="64">
        <v>500</v>
      </c>
      <c r="X79" s="64">
        <v>500</v>
      </c>
      <c r="Y79" s="64">
        <v>500</v>
      </c>
      <c r="Z79" s="64">
        <v>500</v>
      </c>
      <c r="AA79" s="64">
        <v>500</v>
      </c>
      <c r="AB79" s="65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E513-FE3F-4965-9417-A1F3CDFBF30D}">
  <dimension ref="A1:AA79"/>
  <sheetViews>
    <sheetView zoomScale="70" zoomScaleNormal="70" workbookViewId="0">
      <selection activeCell="X18" sqref="X18"/>
    </sheetView>
  </sheetViews>
  <sheetFormatPr defaultRowHeight="15"/>
  <cols>
    <col min="1" max="1" width="9.85546875" customWidth="1"/>
  </cols>
  <sheetData>
    <row r="1" spans="1:27">
      <c r="A1" s="47" t="s">
        <v>26</v>
      </c>
      <c r="B1" s="47">
        <v>1</v>
      </c>
      <c r="C1" s="47">
        <v>2</v>
      </c>
      <c r="D1" s="47">
        <v>3</v>
      </c>
      <c r="E1" s="47">
        <v>4</v>
      </c>
      <c r="F1" s="47">
        <v>5</v>
      </c>
      <c r="G1" s="47">
        <v>6</v>
      </c>
      <c r="H1" s="47">
        <v>7</v>
      </c>
      <c r="I1" s="47">
        <v>8</v>
      </c>
      <c r="J1" s="47">
        <v>9</v>
      </c>
      <c r="K1" s="47">
        <v>10</v>
      </c>
      <c r="L1" s="47">
        <v>11</v>
      </c>
      <c r="M1" s="47">
        <v>12</v>
      </c>
      <c r="N1" s="47">
        <v>13</v>
      </c>
      <c r="O1" s="47">
        <v>14</v>
      </c>
      <c r="P1" s="47">
        <v>15</v>
      </c>
      <c r="Q1" s="47">
        <v>16</v>
      </c>
      <c r="R1" s="47">
        <v>17</v>
      </c>
      <c r="S1" s="47">
        <v>18</v>
      </c>
      <c r="T1" s="47">
        <v>19</v>
      </c>
      <c r="U1" s="47">
        <v>20</v>
      </c>
      <c r="V1" s="47">
        <v>21</v>
      </c>
      <c r="W1" s="47">
        <v>22</v>
      </c>
      <c r="X1" s="47">
        <v>23</v>
      </c>
      <c r="Y1" s="47">
        <v>24</v>
      </c>
      <c r="Z1" s="47">
        <v>25</v>
      </c>
      <c r="AA1" s="47" t="s">
        <v>27</v>
      </c>
    </row>
    <row r="2" spans="1:27">
      <c r="A2" s="48">
        <v>18</v>
      </c>
      <c r="B2" s="49">
        <v>0.69</v>
      </c>
      <c r="C2" s="50">
        <v>0.72</v>
      </c>
      <c r="D2" s="50">
        <v>0.74</v>
      </c>
      <c r="E2" s="50">
        <v>0.77</v>
      </c>
      <c r="F2" s="50">
        <v>0.75</v>
      </c>
      <c r="G2" s="50">
        <v>0.72</v>
      </c>
      <c r="H2" s="50">
        <v>0.71</v>
      </c>
      <c r="I2" s="50">
        <v>0.71</v>
      </c>
      <c r="J2" s="50">
        <v>0.61</v>
      </c>
      <c r="K2" s="50">
        <v>0.57999999999999996</v>
      </c>
      <c r="L2" s="50">
        <v>0.52</v>
      </c>
      <c r="M2" s="50">
        <v>0.48</v>
      </c>
      <c r="N2" s="50">
        <v>0.46</v>
      </c>
      <c r="O2" s="50">
        <v>0.48</v>
      </c>
      <c r="P2" s="50">
        <v>0.5</v>
      </c>
      <c r="Q2" s="50">
        <v>0.56999999999999995</v>
      </c>
      <c r="R2" s="50">
        <v>0.65</v>
      </c>
      <c r="S2" s="50">
        <v>0.76</v>
      </c>
      <c r="T2" s="50">
        <v>0.88</v>
      </c>
      <c r="U2" s="50">
        <v>1</v>
      </c>
      <c r="V2" s="50">
        <v>1.1000000000000001</v>
      </c>
      <c r="W2" s="50">
        <v>1.1599999999999999</v>
      </c>
      <c r="X2" s="50">
        <v>1.21</v>
      </c>
      <c r="Y2" s="50">
        <v>1.28</v>
      </c>
      <c r="Z2" s="50">
        <v>1.36</v>
      </c>
      <c r="AA2" s="66">
        <v>1.45</v>
      </c>
    </row>
    <row r="3" spans="1:27">
      <c r="A3" s="52">
        <v>19</v>
      </c>
      <c r="B3" s="53">
        <v>0.64</v>
      </c>
      <c r="C3" s="41">
        <v>0.67</v>
      </c>
      <c r="D3" s="41">
        <v>0.68</v>
      </c>
      <c r="E3" s="41">
        <v>0.65</v>
      </c>
      <c r="F3" s="41">
        <v>0.64</v>
      </c>
      <c r="G3" s="41">
        <v>0.65</v>
      </c>
      <c r="H3" s="41">
        <v>0.65</v>
      </c>
      <c r="I3" s="41">
        <v>0.61</v>
      </c>
      <c r="J3" s="41">
        <v>0.53</v>
      </c>
      <c r="K3" s="41">
        <v>0.46</v>
      </c>
      <c r="L3" s="41">
        <v>0.48</v>
      </c>
      <c r="M3" s="41">
        <v>0.46</v>
      </c>
      <c r="N3" s="41">
        <v>0.45</v>
      </c>
      <c r="O3" s="41">
        <v>0.49</v>
      </c>
      <c r="P3" s="41">
        <v>0.54</v>
      </c>
      <c r="Q3" s="41">
        <v>0.59</v>
      </c>
      <c r="R3" s="41">
        <v>0.67</v>
      </c>
      <c r="S3" s="41">
        <v>0.79</v>
      </c>
      <c r="T3" s="41">
        <v>0.91</v>
      </c>
      <c r="U3" s="41">
        <v>1.02</v>
      </c>
      <c r="V3" s="41">
        <v>1.1299999999999999</v>
      </c>
      <c r="W3" s="41">
        <v>1.19</v>
      </c>
      <c r="X3" s="41">
        <v>1.26</v>
      </c>
      <c r="Y3" s="41">
        <v>1.34</v>
      </c>
      <c r="Z3" s="41">
        <v>1.43</v>
      </c>
      <c r="AA3" s="67">
        <v>1.52</v>
      </c>
    </row>
    <row r="4" spans="1:27">
      <c r="A4" s="55">
        <v>20</v>
      </c>
      <c r="B4" s="56">
        <v>0.55000000000000004</v>
      </c>
      <c r="C4" s="57">
        <v>0.56999999999999995</v>
      </c>
      <c r="D4" s="57">
        <v>0.63</v>
      </c>
      <c r="E4" s="57">
        <v>0.61</v>
      </c>
      <c r="F4" s="57">
        <v>0.59</v>
      </c>
      <c r="G4" s="57">
        <v>0.56999999999999995</v>
      </c>
      <c r="H4" s="57">
        <v>0.56000000000000005</v>
      </c>
      <c r="I4" s="57">
        <v>0.51</v>
      </c>
      <c r="J4" s="57">
        <v>0.46</v>
      </c>
      <c r="K4" s="57">
        <v>0.46</v>
      </c>
      <c r="L4" s="57">
        <v>0.45</v>
      </c>
      <c r="M4" s="57">
        <v>0.45</v>
      </c>
      <c r="N4" s="57">
        <v>0.46</v>
      </c>
      <c r="O4" s="57">
        <v>0.5</v>
      </c>
      <c r="P4" s="57">
        <v>0.56000000000000005</v>
      </c>
      <c r="Q4" s="57">
        <v>0.6</v>
      </c>
      <c r="R4" s="57">
        <v>0.7</v>
      </c>
      <c r="S4" s="57">
        <v>0.81</v>
      </c>
      <c r="T4" s="57">
        <v>0.93</v>
      </c>
      <c r="U4" s="57">
        <v>1.05</v>
      </c>
      <c r="V4" s="57">
        <v>1.1599999999999999</v>
      </c>
      <c r="W4" s="57">
        <v>1.22</v>
      </c>
      <c r="X4" s="57">
        <v>1.28</v>
      </c>
      <c r="Y4" s="57">
        <v>1.37</v>
      </c>
      <c r="Z4" s="57">
        <v>1.46</v>
      </c>
      <c r="AA4" s="68">
        <v>1.56</v>
      </c>
    </row>
    <row r="5" spans="1:27">
      <c r="A5" s="52">
        <v>21</v>
      </c>
      <c r="B5" s="53">
        <v>0.46</v>
      </c>
      <c r="C5" s="41">
        <v>0.56999999999999995</v>
      </c>
      <c r="D5" s="41">
        <v>0.51</v>
      </c>
      <c r="E5" s="41">
        <v>0.49</v>
      </c>
      <c r="F5" s="41">
        <v>0.47</v>
      </c>
      <c r="G5" s="41">
        <v>0.47</v>
      </c>
      <c r="H5" s="41">
        <v>0.46</v>
      </c>
      <c r="I5" s="41">
        <v>0.43</v>
      </c>
      <c r="J5" s="41">
        <v>0.4</v>
      </c>
      <c r="K5" s="41">
        <v>0.42</v>
      </c>
      <c r="L5" s="41">
        <v>0.43</v>
      </c>
      <c r="M5" s="41">
        <v>0.45</v>
      </c>
      <c r="N5" s="41">
        <v>0.47</v>
      </c>
      <c r="O5" s="41">
        <v>0.52</v>
      </c>
      <c r="P5" s="41">
        <v>0.57999999999999996</v>
      </c>
      <c r="Q5" s="41">
        <v>0.63</v>
      </c>
      <c r="R5" s="41">
        <v>0.72</v>
      </c>
      <c r="S5" s="41">
        <v>0.83</v>
      </c>
      <c r="T5" s="41">
        <v>0.96</v>
      </c>
      <c r="U5" s="41">
        <v>1.08</v>
      </c>
      <c r="V5" s="41">
        <v>1.1599999999999999</v>
      </c>
      <c r="W5" s="41">
        <v>1.22</v>
      </c>
      <c r="X5" s="41">
        <v>1.3</v>
      </c>
      <c r="Y5" s="41">
        <v>1.4</v>
      </c>
      <c r="Z5" s="41">
        <v>1.51</v>
      </c>
      <c r="AA5" s="67">
        <v>1.62</v>
      </c>
    </row>
    <row r="6" spans="1:27">
      <c r="A6" s="55">
        <v>22</v>
      </c>
      <c r="B6" s="56">
        <v>0.45</v>
      </c>
      <c r="C6" s="57">
        <v>0.47</v>
      </c>
      <c r="D6" s="57">
        <v>0.42</v>
      </c>
      <c r="E6" s="57">
        <v>0.4</v>
      </c>
      <c r="F6" s="57">
        <v>0.39</v>
      </c>
      <c r="G6" s="57">
        <v>0.39</v>
      </c>
      <c r="H6" s="57">
        <v>0.38</v>
      </c>
      <c r="I6" s="57">
        <v>0.37</v>
      </c>
      <c r="J6" s="57">
        <v>0.36</v>
      </c>
      <c r="K6" s="57">
        <v>0.41</v>
      </c>
      <c r="L6" s="57">
        <v>0.43</v>
      </c>
      <c r="M6" s="57">
        <v>0.45</v>
      </c>
      <c r="N6" s="57">
        <v>0.48</v>
      </c>
      <c r="O6" s="57">
        <v>0.54</v>
      </c>
      <c r="P6" s="57">
        <v>0.61</v>
      </c>
      <c r="Q6" s="57">
        <v>0.65</v>
      </c>
      <c r="R6" s="57">
        <v>0.74</v>
      </c>
      <c r="S6" s="57">
        <v>0.86</v>
      </c>
      <c r="T6" s="57">
        <v>0.99</v>
      </c>
      <c r="U6" s="57">
        <v>1.1000000000000001</v>
      </c>
      <c r="V6" s="57">
        <v>1.17</v>
      </c>
      <c r="W6" s="57">
        <v>1.23</v>
      </c>
      <c r="X6" s="57">
        <v>1.3</v>
      </c>
      <c r="Y6" s="57">
        <v>1.42</v>
      </c>
      <c r="Z6" s="57">
        <v>1.55</v>
      </c>
      <c r="AA6" s="68">
        <v>1.68</v>
      </c>
    </row>
    <row r="7" spans="1:27">
      <c r="A7" s="52">
        <v>23</v>
      </c>
      <c r="B7" s="53">
        <v>0.38</v>
      </c>
      <c r="C7" s="41">
        <v>0.39</v>
      </c>
      <c r="D7" s="41">
        <v>0.35</v>
      </c>
      <c r="E7" s="41">
        <v>0.34</v>
      </c>
      <c r="F7" s="41">
        <v>0.33</v>
      </c>
      <c r="G7" s="41">
        <v>0.33</v>
      </c>
      <c r="H7" s="41">
        <v>0.33</v>
      </c>
      <c r="I7" s="41">
        <v>0.33</v>
      </c>
      <c r="J7" s="41">
        <v>0.34</v>
      </c>
      <c r="K7" s="41">
        <v>0.4</v>
      </c>
      <c r="L7" s="41">
        <v>0.43</v>
      </c>
      <c r="M7" s="41">
        <v>0.47</v>
      </c>
      <c r="N7" s="41">
        <v>0.5</v>
      </c>
      <c r="O7" s="41">
        <v>0.56999999999999995</v>
      </c>
      <c r="P7" s="41">
        <v>0.63</v>
      </c>
      <c r="Q7" s="41">
        <v>0.68</v>
      </c>
      <c r="R7" s="41">
        <v>0.77</v>
      </c>
      <c r="S7" s="41">
        <v>0.9</v>
      </c>
      <c r="T7" s="41">
        <v>1.02</v>
      </c>
      <c r="U7" s="41">
        <v>1.1200000000000001</v>
      </c>
      <c r="V7" s="41">
        <v>1.18</v>
      </c>
      <c r="W7" s="41">
        <v>1.23</v>
      </c>
      <c r="X7" s="41">
        <v>1.3</v>
      </c>
      <c r="Y7" s="41">
        <v>1.44</v>
      </c>
      <c r="Z7" s="41">
        <v>1.6</v>
      </c>
      <c r="AA7" s="67">
        <v>1.75</v>
      </c>
    </row>
    <row r="8" spans="1:27">
      <c r="A8" s="55">
        <v>24</v>
      </c>
      <c r="B8" s="56">
        <v>0.32</v>
      </c>
      <c r="C8" s="57">
        <v>0.33</v>
      </c>
      <c r="D8" s="57">
        <v>0.3</v>
      </c>
      <c r="E8" s="57">
        <v>0.28999999999999998</v>
      </c>
      <c r="F8" s="57">
        <v>0.28999999999999998</v>
      </c>
      <c r="G8" s="57">
        <v>0.28000000000000003</v>
      </c>
      <c r="H8" s="57">
        <v>0.28999999999999998</v>
      </c>
      <c r="I8" s="57">
        <v>0.32</v>
      </c>
      <c r="J8" s="57">
        <v>0.34</v>
      </c>
      <c r="K8" s="57">
        <v>0.4</v>
      </c>
      <c r="L8" s="57">
        <v>0.44</v>
      </c>
      <c r="M8" s="57">
        <v>0.48</v>
      </c>
      <c r="N8" s="57">
        <v>0.53</v>
      </c>
      <c r="O8" s="57">
        <v>0.6</v>
      </c>
      <c r="P8" s="57">
        <v>0.66</v>
      </c>
      <c r="Q8" s="57">
        <v>0.71</v>
      </c>
      <c r="R8" s="57">
        <v>0.82</v>
      </c>
      <c r="S8" s="57">
        <v>0.95</v>
      </c>
      <c r="T8" s="57">
        <v>1.06</v>
      </c>
      <c r="U8" s="57">
        <v>1.1200000000000001</v>
      </c>
      <c r="V8" s="57">
        <v>1.18</v>
      </c>
      <c r="W8" s="57">
        <v>1.23</v>
      </c>
      <c r="X8" s="57">
        <v>1.31</v>
      </c>
      <c r="Y8" s="57">
        <v>1.47</v>
      </c>
      <c r="Z8" s="57">
        <v>1.65</v>
      </c>
      <c r="AA8" s="68">
        <v>1.83</v>
      </c>
    </row>
    <row r="9" spans="1:27">
      <c r="A9" s="52">
        <v>25</v>
      </c>
      <c r="B9" s="53">
        <v>0.27</v>
      </c>
      <c r="C9" s="41">
        <v>0.28999999999999998</v>
      </c>
      <c r="D9" s="41">
        <v>0.26</v>
      </c>
      <c r="E9" s="41">
        <v>0.25</v>
      </c>
      <c r="F9" s="41">
        <v>0.26</v>
      </c>
      <c r="G9" s="41">
        <v>0.26</v>
      </c>
      <c r="H9" s="41">
        <v>0.28000000000000003</v>
      </c>
      <c r="I9" s="41">
        <v>0.32</v>
      </c>
      <c r="J9" s="41">
        <v>0.34</v>
      </c>
      <c r="K9" s="41">
        <v>0.41</v>
      </c>
      <c r="L9" s="41">
        <v>0.45</v>
      </c>
      <c r="M9" s="41">
        <v>0.51</v>
      </c>
      <c r="N9" s="41">
        <v>0.56000000000000005</v>
      </c>
      <c r="O9" s="41">
        <v>0.63</v>
      </c>
      <c r="P9" s="41">
        <v>0.69</v>
      </c>
      <c r="Q9" s="41">
        <v>0.75</v>
      </c>
      <c r="R9" s="41">
        <v>0.87</v>
      </c>
      <c r="S9" s="41">
        <v>0.99</v>
      </c>
      <c r="T9" s="41">
        <v>1.08</v>
      </c>
      <c r="U9" s="41">
        <v>1.1200000000000001</v>
      </c>
      <c r="V9" s="41">
        <v>1.19</v>
      </c>
      <c r="W9" s="41">
        <v>1.24</v>
      </c>
      <c r="X9" s="41">
        <v>1.38</v>
      </c>
      <c r="Y9" s="41">
        <v>1.56</v>
      </c>
      <c r="Z9" s="41">
        <v>1.74</v>
      </c>
      <c r="AA9" s="67">
        <v>1.92</v>
      </c>
    </row>
    <row r="10" spans="1:27">
      <c r="A10" s="55">
        <v>26</v>
      </c>
      <c r="B10" s="56">
        <v>0.24</v>
      </c>
      <c r="C10" s="57">
        <v>0.25</v>
      </c>
      <c r="D10" s="57">
        <v>0.24</v>
      </c>
      <c r="E10" s="57">
        <v>0.24</v>
      </c>
      <c r="F10" s="57">
        <v>0.24</v>
      </c>
      <c r="G10" s="57">
        <v>0.25</v>
      </c>
      <c r="H10" s="57">
        <v>0.28999999999999998</v>
      </c>
      <c r="I10" s="57">
        <v>0.33</v>
      </c>
      <c r="J10" s="57">
        <v>0.36</v>
      </c>
      <c r="K10" s="57">
        <v>0.43</v>
      </c>
      <c r="L10" s="57">
        <v>0.49</v>
      </c>
      <c r="M10" s="57">
        <v>0.55000000000000004</v>
      </c>
      <c r="N10" s="57">
        <v>0.6</v>
      </c>
      <c r="O10" s="57">
        <v>0.67</v>
      </c>
      <c r="P10" s="57">
        <v>0.74</v>
      </c>
      <c r="Q10" s="57">
        <v>0.81</v>
      </c>
      <c r="R10" s="57">
        <v>0.94</v>
      </c>
      <c r="S10" s="57">
        <v>1.04</v>
      </c>
      <c r="T10" s="57">
        <v>1.1000000000000001</v>
      </c>
      <c r="U10" s="57">
        <v>1.1299999999999999</v>
      </c>
      <c r="V10" s="57">
        <v>1.2</v>
      </c>
      <c r="W10" s="57">
        <v>1.32</v>
      </c>
      <c r="X10" s="57">
        <v>1.49</v>
      </c>
      <c r="Y10" s="57">
        <v>1.67</v>
      </c>
      <c r="Z10" s="57">
        <v>1.87</v>
      </c>
      <c r="AA10" s="68">
        <v>2.06</v>
      </c>
    </row>
    <row r="11" spans="1:27">
      <c r="A11" s="52">
        <v>27</v>
      </c>
      <c r="B11" s="53">
        <v>0.21</v>
      </c>
      <c r="C11" s="41">
        <v>0.23</v>
      </c>
      <c r="D11" s="41">
        <v>0.22</v>
      </c>
      <c r="E11" s="41">
        <v>0.23</v>
      </c>
      <c r="F11" s="41">
        <v>0.25</v>
      </c>
      <c r="G11" s="41">
        <v>0.26</v>
      </c>
      <c r="H11" s="41">
        <v>0.3</v>
      </c>
      <c r="I11" s="41">
        <v>0.34</v>
      </c>
      <c r="J11" s="41">
        <v>0.37</v>
      </c>
      <c r="K11" s="41">
        <v>0.46</v>
      </c>
      <c r="L11" s="41">
        <v>0.53</v>
      </c>
      <c r="M11" s="41">
        <v>0.59</v>
      </c>
      <c r="N11" s="41">
        <v>0.64</v>
      </c>
      <c r="O11" s="41">
        <v>0.72</v>
      </c>
      <c r="P11" s="41">
        <v>0.8</v>
      </c>
      <c r="Q11" s="41">
        <v>0.88</v>
      </c>
      <c r="R11" s="41">
        <v>1</v>
      </c>
      <c r="S11" s="41">
        <v>1.08</v>
      </c>
      <c r="T11" s="41">
        <v>1.1200000000000001</v>
      </c>
      <c r="U11" s="41">
        <v>1.18</v>
      </c>
      <c r="V11" s="41">
        <v>1.28</v>
      </c>
      <c r="W11" s="41">
        <v>1.43</v>
      </c>
      <c r="X11" s="41">
        <v>1.61</v>
      </c>
      <c r="Y11" s="41">
        <v>1.81</v>
      </c>
      <c r="Z11" s="41">
        <v>2.02</v>
      </c>
      <c r="AA11" s="67">
        <v>2.25</v>
      </c>
    </row>
    <row r="12" spans="1:27">
      <c r="A12" s="55">
        <v>28</v>
      </c>
      <c r="B12" s="56">
        <v>0.18</v>
      </c>
      <c r="C12" s="57">
        <v>0.2</v>
      </c>
      <c r="D12" s="57">
        <v>0.21</v>
      </c>
      <c r="E12" s="57">
        <v>0.24</v>
      </c>
      <c r="F12" s="57">
        <v>0.26</v>
      </c>
      <c r="G12" s="57">
        <v>0.28000000000000003</v>
      </c>
      <c r="H12" s="57">
        <v>0.32</v>
      </c>
      <c r="I12" s="57">
        <v>0.36</v>
      </c>
      <c r="J12" s="57">
        <v>0.4</v>
      </c>
      <c r="K12" s="57">
        <v>0.5</v>
      </c>
      <c r="L12" s="57">
        <v>0.56999999999999995</v>
      </c>
      <c r="M12" s="57">
        <v>0.64</v>
      </c>
      <c r="N12" s="57">
        <v>0.69</v>
      </c>
      <c r="O12" s="57">
        <v>0.78</v>
      </c>
      <c r="P12" s="57">
        <v>0.87</v>
      </c>
      <c r="Q12" s="57">
        <v>0.94</v>
      </c>
      <c r="R12" s="57">
        <v>1.05</v>
      </c>
      <c r="S12" s="57">
        <v>1.1100000000000001</v>
      </c>
      <c r="T12" s="57">
        <v>1.18</v>
      </c>
      <c r="U12" s="57">
        <v>1.26</v>
      </c>
      <c r="V12" s="57">
        <v>1.39</v>
      </c>
      <c r="W12" s="57">
        <v>1.56</v>
      </c>
      <c r="X12" s="57">
        <v>1.76</v>
      </c>
      <c r="Y12" s="57">
        <v>1.97</v>
      </c>
      <c r="Z12" s="57">
        <v>2.21</v>
      </c>
      <c r="AA12" s="68">
        <v>2.46</v>
      </c>
    </row>
    <row r="13" spans="1:27">
      <c r="A13" s="52">
        <v>29</v>
      </c>
      <c r="B13" s="53">
        <v>0.17</v>
      </c>
      <c r="C13" s="41">
        <v>0.19</v>
      </c>
      <c r="D13" s="41">
        <v>0.22</v>
      </c>
      <c r="E13" s="41">
        <v>0.25</v>
      </c>
      <c r="F13" s="41">
        <v>0.28000000000000003</v>
      </c>
      <c r="G13" s="41">
        <v>0.31</v>
      </c>
      <c r="H13" s="41">
        <v>0.34</v>
      </c>
      <c r="I13" s="41">
        <v>0.39</v>
      </c>
      <c r="J13" s="41">
        <v>0.44</v>
      </c>
      <c r="K13" s="41">
        <v>0.55000000000000004</v>
      </c>
      <c r="L13" s="41">
        <v>0.62</v>
      </c>
      <c r="M13" s="41">
        <v>0.69</v>
      </c>
      <c r="N13" s="41">
        <v>0.75</v>
      </c>
      <c r="O13" s="41">
        <v>0.84</v>
      </c>
      <c r="P13" s="41">
        <v>0.92</v>
      </c>
      <c r="Q13" s="41">
        <v>0.99</v>
      </c>
      <c r="R13" s="41">
        <v>1.0900000000000001</v>
      </c>
      <c r="S13" s="41">
        <v>1.18</v>
      </c>
      <c r="T13" s="41">
        <v>1.26</v>
      </c>
      <c r="U13" s="41">
        <v>1.36</v>
      </c>
      <c r="V13" s="41">
        <v>1.51</v>
      </c>
      <c r="W13" s="41">
        <v>1.7</v>
      </c>
      <c r="X13" s="41">
        <v>1.92</v>
      </c>
      <c r="Y13" s="41">
        <v>2.15</v>
      </c>
      <c r="Z13" s="41">
        <v>2.42</v>
      </c>
      <c r="AA13" s="67">
        <v>2.69</v>
      </c>
    </row>
    <row r="14" spans="1:27">
      <c r="A14" s="55">
        <v>30</v>
      </c>
      <c r="B14" s="56">
        <v>0.16</v>
      </c>
      <c r="C14" s="57">
        <v>0.17</v>
      </c>
      <c r="D14" s="57">
        <v>0.22</v>
      </c>
      <c r="E14" s="57">
        <v>0.26</v>
      </c>
      <c r="F14" s="57">
        <v>0.28000000000000003</v>
      </c>
      <c r="G14" s="57">
        <v>0.31</v>
      </c>
      <c r="H14" s="57">
        <v>0.34</v>
      </c>
      <c r="I14" s="57">
        <v>0.39</v>
      </c>
      <c r="J14" s="57">
        <v>0.45</v>
      </c>
      <c r="K14" s="57">
        <v>0.56000000000000005</v>
      </c>
      <c r="L14" s="57">
        <v>0.64</v>
      </c>
      <c r="M14" s="57">
        <v>0.7</v>
      </c>
      <c r="N14" s="57">
        <v>0.75</v>
      </c>
      <c r="O14" s="57">
        <v>0.85</v>
      </c>
      <c r="P14" s="57">
        <v>0.93</v>
      </c>
      <c r="Q14" s="57">
        <v>1.03</v>
      </c>
      <c r="R14" s="57">
        <v>1.1599999999999999</v>
      </c>
      <c r="S14" s="57">
        <v>1.25</v>
      </c>
      <c r="T14" s="57">
        <v>1.34</v>
      </c>
      <c r="U14" s="57">
        <v>1.47</v>
      </c>
      <c r="V14" s="57">
        <v>1.65</v>
      </c>
      <c r="W14" s="57">
        <v>1.86</v>
      </c>
      <c r="X14" s="57">
        <v>2.09</v>
      </c>
      <c r="Y14" s="57">
        <v>2.35</v>
      </c>
      <c r="Z14" s="57">
        <v>2.64</v>
      </c>
      <c r="AA14" s="68">
        <v>2.91</v>
      </c>
    </row>
    <row r="15" spans="1:27">
      <c r="A15" s="52">
        <v>31</v>
      </c>
      <c r="B15" s="53">
        <v>0.13</v>
      </c>
      <c r="C15" s="41">
        <v>0.15</v>
      </c>
      <c r="D15" s="41">
        <v>0.22</v>
      </c>
      <c r="E15" s="41">
        <v>0.26</v>
      </c>
      <c r="F15" s="41">
        <v>0.28000000000000003</v>
      </c>
      <c r="G15" s="41">
        <v>0.31</v>
      </c>
      <c r="H15" s="41">
        <v>0.34</v>
      </c>
      <c r="I15" s="41">
        <v>0.41</v>
      </c>
      <c r="J15" s="41">
        <v>0.49</v>
      </c>
      <c r="K15" s="41">
        <v>0.59</v>
      </c>
      <c r="L15" s="41">
        <v>0.65</v>
      </c>
      <c r="M15" s="41">
        <v>0.71</v>
      </c>
      <c r="N15" s="41">
        <v>0.78</v>
      </c>
      <c r="O15" s="41">
        <v>0.87</v>
      </c>
      <c r="P15" s="41">
        <v>0.96</v>
      </c>
      <c r="Q15" s="41">
        <v>1.1000000000000001</v>
      </c>
      <c r="R15" s="41">
        <v>1.23</v>
      </c>
      <c r="S15" s="41">
        <v>1.33</v>
      </c>
      <c r="T15" s="41">
        <v>1.44</v>
      </c>
      <c r="U15" s="41">
        <v>1.6</v>
      </c>
      <c r="V15" s="41">
        <v>1.79</v>
      </c>
      <c r="W15" s="41">
        <v>2.0299999999999998</v>
      </c>
      <c r="X15" s="41">
        <v>2.2799999999999998</v>
      </c>
      <c r="Y15" s="41">
        <v>2.57</v>
      </c>
      <c r="Z15" s="41">
        <v>2.87</v>
      </c>
      <c r="AA15" s="67">
        <v>3.12</v>
      </c>
    </row>
    <row r="16" spans="1:27">
      <c r="A16" s="55">
        <v>32</v>
      </c>
      <c r="B16" s="56">
        <v>0.14000000000000001</v>
      </c>
      <c r="C16" s="57">
        <v>0.15</v>
      </c>
      <c r="D16" s="57">
        <v>0.23</v>
      </c>
      <c r="E16" s="57">
        <v>0.27</v>
      </c>
      <c r="F16" s="57">
        <v>0.3</v>
      </c>
      <c r="G16" s="57">
        <v>0.32</v>
      </c>
      <c r="H16" s="57">
        <v>0.38</v>
      </c>
      <c r="I16" s="57">
        <v>0.44</v>
      </c>
      <c r="J16" s="57">
        <v>0.54</v>
      </c>
      <c r="K16" s="57">
        <v>0.64</v>
      </c>
      <c r="L16" s="57">
        <v>0.7</v>
      </c>
      <c r="M16" s="57">
        <v>0.75</v>
      </c>
      <c r="N16" s="57">
        <v>0.82</v>
      </c>
      <c r="O16" s="57">
        <v>0.91</v>
      </c>
      <c r="P16" s="57">
        <v>1.03</v>
      </c>
      <c r="Q16" s="57">
        <v>1.17</v>
      </c>
      <c r="R16" s="57">
        <v>1.3</v>
      </c>
      <c r="S16" s="57">
        <v>1.42</v>
      </c>
      <c r="T16" s="57">
        <v>1.56</v>
      </c>
      <c r="U16" s="57">
        <v>1.73</v>
      </c>
      <c r="V16" s="57">
        <v>1.95</v>
      </c>
      <c r="W16" s="57">
        <v>2.21</v>
      </c>
      <c r="X16" s="57">
        <v>2.4900000000000002</v>
      </c>
      <c r="Y16" s="57">
        <v>2.79</v>
      </c>
      <c r="Z16" s="57">
        <v>3.08</v>
      </c>
      <c r="AA16" s="68">
        <v>3.32</v>
      </c>
    </row>
    <row r="17" spans="1:27">
      <c r="A17" s="52">
        <v>33</v>
      </c>
      <c r="B17" s="53">
        <v>0.14000000000000001</v>
      </c>
      <c r="C17" s="41">
        <v>0.16</v>
      </c>
      <c r="D17" s="41">
        <v>0.24</v>
      </c>
      <c r="E17" s="41">
        <v>0.28999999999999998</v>
      </c>
      <c r="F17" s="41">
        <v>0.31</v>
      </c>
      <c r="G17" s="41">
        <v>0.35</v>
      </c>
      <c r="H17" s="41">
        <v>0.41</v>
      </c>
      <c r="I17" s="41">
        <v>0.49</v>
      </c>
      <c r="J17" s="41">
        <v>0.59</v>
      </c>
      <c r="K17" s="41">
        <v>0.68</v>
      </c>
      <c r="L17" s="41">
        <v>0.73</v>
      </c>
      <c r="M17" s="41">
        <v>0.78</v>
      </c>
      <c r="N17" s="41">
        <v>0.86</v>
      </c>
      <c r="O17" s="41">
        <v>0.97</v>
      </c>
      <c r="P17" s="41">
        <v>1.1000000000000001</v>
      </c>
      <c r="Q17" s="41">
        <v>1.24</v>
      </c>
      <c r="R17" s="41">
        <v>1.39</v>
      </c>
      <c r="S17" s="41">
        <v>1.52</v>
      </c>
      <c r="T17" s="41">
        <v>1.67</v>
      </c>
      <c r="U17" s="41">
        <v>1.87</v>
      </c>
      <c r="V17" s="41">
        <v>2.11</v>
      </c>
      <c r="W17" s="41">
        <v>2.4</v>
      </c>
      <c r="X17" s="41">
        <v>2.71</v>
      </c>
      <c r="Y17" s="41">
        <v>3.01</v>
      </c>
      <c r="Z17" s="41">
        <v>3.29</v>
      </c>
      <c r="AA17" s="67">
        <v>3.53</v>
      </c>
    </row>
    <row r="18" spans="1:27">
      <c r="A18" s="55">
        <v>34</v>
      </c>
      <c r="B18" s="56">
        <v>0.15</v>
      </c>
      <c r="C18" s="57">
        <v>0.17</v>
      </c>
      <c r="D18" s="57">
        <v>0.26</v>
      </c>
      <c r="E18" s="57">
        <v>0.3</v>
      </c>
      <c r="F18" s="57">
        <v>0.34</v>
      </c>
      <c r="G18" s="57">
        <v>0.4</v>
      </c>
      <c r="H18" s="57">
        <v>0.46</v>
      </c>
      <c r="I18" s="57">
        <v>0.54</v>
      </c>
      <c r="J18" s="57">
        <v>0.64</v>
      </c>
      <c r="K18" s="57">
        <v>0.72</v>
      </c>
      <c r="L18" s="57">
        <v>0.76</v>
      </c>
      <c r="M18" s="57">
        <v>0.81</v>
      </c>
      <c r="N18" s="57">
        <v>0.92</v>
      </c>
      <c r="O18" s="57">
        <v>1.05</v>
      </c>
      <c r="P18" s="57">
        <v>1.18</v>
      </c>
      <c r="Q18" s="57">
        <v>1.33</v>
      </c>
      <c r="R18" s="57">
        <v>1.48</v>
      </c>
      <c r="S18" s="57">
        <v>1.62</v>
      </c>
      <c r="T18" s="57">
        <v>1.8</v>
      </c>
      <c r="U18" s="57">
        <v>2.02</v>
      </c>
      <c r="V18" s="57">
        <v>2.2999999999999998</v>
      </c>
      <c r="W18" s="57">
        <v>2.62</v>
      </c>
      <c r="X18" s="57">
        <v>2.94</v>
      </c>
      <c r="Y18" s="57">
        <v>3.24</v>
      </c>
      <c r="Z18" s="57">
        <v>3.51</v>
      </c>
      <c r="AA18" s="68">
        <v>3.78</v>
      </c>
    </row>
    <row r="19" spans="1:27">
      <c r="A19" s="52">
        <v>35</v>
      </c>
      <c r="B19" s="53">
        <v>0.15</v>
      </c>
      <c r="C19" s="41">
        <v>0.17</v>
      </c>
      <c r="D19" s="41">
        <v>0.28000000000000003</v>
      </c>
      <c r="E19" s="41">
        <v>0.33</v>
      </c>
      <c r="F19" s="41">
        <v>0.38</v>
      </c>
      <c r="G19" s="41">
        <v>0.43</v>
      </c>
      <c r="H19" s="41">
        <v>0.48</v>
      </c>
      <c r="I19" s="41">
        <v>0.59</v>
      </c>
      <c r="J19" s="41">
        <v>0.68</v>
      </c>
      <c r="K19" s="41">
        <v>0.75</v>
      </c>
      <c r="L19" s="41">
        <v>0.79</v>
      </c>
      <c r="M19" s="41">
        <v>0.88</v>
      </c>
      <c r="N19" s="41">
        <v>1</v>
      </c>
      <c r="O19" s="41">
        <v>1.1299999999999999</v>
      </c>
      <c r="P19" s="41">
        <v>1.27</v>
      </c>
      <c r="Q19" s="41">
        <v>1.42</v>
      </c>
      <c r="R19" s="41">
        <v>1.58</v>
      </c>
      <c r="S19" s="41">
        <v>1.74</v>
      </c>
      <c r="T19" s="41">
        <v>1.94</v>
      </c>
      <c r="U19" s="41">
        <v>2.2000000000000002</v>
      </c>
      <c r="V19" s="41">
        <v>2.5099999999999998</v>
      </c>
      <c r="W19" s="41">
        <v>2.86</v>
      </c>
      <c r="X19" s="41">
        <v>3.19</v>
      </c>
      <c r="Y19" s="41">
        <v>3.49</v>
      </c>
      <c r="Z19" s="41">
        <v>3.76</v>
      </c>
      <c r="AA19" s="67">
        <v>4.08</v>
      </c>
    </row>
    <row r="20" spans="1:27">
      <c r="A20" s="55">
        <v>36</v>
      </c>
      <c r="B20" s="56">
        <v>0.15</v>
      </c>
      <c r="C20" s="57">
        <v>0.19</v>
      </c>
      <c r="D20" s="57">
        <v>0.3</v>
      </c>
      <c r="E20" s="57">
        <v>0.36</v>
      </c>
      <c r="F20" s="57">
        <v>0.42</v>
      </c>
      <c r="G20" s="57">
        <v>0.48</v>
      </c>
      <c r="H20" s="57">
        <v>0.54</v>
      </c>
      <c r="I20" s="57">
        <v>0.64</v>
      </c>
      <c r="J20" s="57">
        <v>0.72</v>
      </c>
      <c r="K20" s="57">
        <v>0.78</v>
      </c>
      <c r="L20" s="57">
        <v>0.86</v>
      </c>
      <c r="M20" s="57">
        <v>0.96</v>
      </c>
      <c r="N20" s="57">
        <v>1.08</v>
      </c>
      <c r="O20" s="57">
        <v>1.22</v>
      </c>
      <c r="P20" s="57">
        <v>1.36</v>
      </c>
      <c r="Q20" s="57">
        <v>1.52</v>
      </c>
      <c r="R20" s="57">
        <v>1.69</v>
      </c>
      <c r="S20" s="57">
        <v>1.87</v>
      </c>
      <c r="T20" s="57">
        <v>2.1</v>
      </c>
      <c r="U20" s="57">
        <v>2.41</v>
      </c>
      <c r="V20" s="57">
        <v>2.76</v>
      </c>
      <c r="W20" s="57">
        <v>3.13</v>
      </c>
      <c r="X20" s="57">
        <v>3.46</v>
      </c>
      <c r="Y20" s="57">
        <v>3.76</v>
      </c>
      <c r="Z20" s="57">
        <v>4.08</v>
      </c>
      <c r="AA20" s="68">
        <v>4.4800000000000004</v>
      </c>
    </row>
    <row r="21" spans="1:27">
      <c r="A21" s="52">
        <v>37</v>
      </c>
      <c r="B21" s="53">
        <v>0.15</v>
      </c>
      <c r="C21" s="41">
        <v>0.2</v>
      </c>
      <c r="D21" s="41">
        <v>0.32</v>
      </c>
      <c r="E21" s="41">
        <v>0.4</v>
      </c>
      <c r="F21" s="41">
        <v>0.46</v>
      </c>
      <c r="G21" s="41">
        <v>0.51</v>
      </c>
      <c r="H21" s="41">
        <v>0.6</v>
      </c>
      <c r="I21" s="41">
        <v>0.69</v>
      </c>
      <c r="J21" s="41">
        <v>0.75</v>
      </c>
      <c r="K21" s="41">
        <v>0.84</v>
      </c>
      <c r="L21" s="41">
        <v>0.94</v>
      </c>
      <c r="M21" s="41">
        <v>1.05</v>
      </c>
      <c r="N21" s="41">
        <v>1.18</v>
      </c>
      <c r="O21" s="41">
        <v>1.32</v>
      </c>
      <c r="P21" s="41">
        <v>1.47</v>
      </c>
      <c r="Q21" s="41">
        <v>1.63</v>
      </c>
      <c r="R21" s="41">
        <v>1.82</v>
      </c>
      <c r="S21" s="41">
        <v>2.0299999999999998</v>
      </c>
      <c r="T21" s="41">
        <v>2.31</v>
      </c>
      <c r="U21" s="41">
        <v>2.66</v>
      </c>
      <c r="V21" s="41">
        <v>3.05</v>
      </c>
      <c r="W21" s="41">
        <v>3.42</v>
      </c>
      <c r="X21" s="41">
        <v>3.75</v>
      </c>
      <c r="Y21" s="41">
        <v>4.08</v>
      </c>
      <c r="Z21" s="41">
        <v>4.4800000000000004</v>
      </c>
      <c r="AA21" s="67">
        <v>4.99</v>
      </c>
    </row>
    <row r="22" spans="1:27">
      <c r="A22" s="55">
        <v>38</v>
      </c>
      <c r="B22" s="56">
        <v>0.15</v>
      </c>
      <c r="C22" s="57">
        <v>0.23</v>
      </c>
      <c r="D22" s="57">
        <v>0.36</v>
      </c>
      <c r="E22" s="57">
        <v>0.42</v>
      </c>
      <c r="F22" s="57">
        <v>0.49</v>
      </c>
      <c r="G22" s="57">
        <v>0.56999999999999995</v>
      </c>
      <c r="H22" s="57">
        <v>0.66</v>
      </c>
      <c r="I22" s="57">
        <v>0.73</v>
      </c>
      <c r="J22" s="57">
        <v>0.81</v>
      </c>
      <c r="K22" s="57">
        <v>0.92</v>
      </c>
      <c r="L22" s="57">
        <v>1.03</v>
      </c>
      <c r="M22" s="57">
        <v>1.1499999999999999</v>
      </c>
      <c r="N22" s="57">
        <v>1.29</v>
      </c>
      <c r="O22" s="57">
        <v>1.44</v>
      </c>
      <c r="P22" s="57">
        <v>1.59</v>
      </c>
      <c r="Q22" s="57">
        <v>1.77</v>
      </c>
      <c r="R22" s="57">
        <v>1.98</v>
      </c>
      <c r="S22" s="57">
        <v>2.23</v>
      </c>
      <c r="T22" s="57">
        <v>2.57</v>
      </c>
      <c r="U22" s="57">
        <v>2.97</v>
      </c>
      <c r="V22" s="57">
        <v>3.37</v>
      </c>
      <c r="W22" s="57">
        <v>3.75</v>
      </c>
      <c r="X22" s="57">
        <v>4.08</v>
      </c>
      <c r="Y22" s="57">
        <v>4.4800000000000004</v>
      </c>
      <c r="Z22" s="57">
        <v>4.95</v>
      </c>
      <c r="AA22" s="68">
        <v>5.56</v>
      </c>
    </row>
    <row r="23" spans="1:27">
      <c r="A23" s="52">
        <v>39</v>
      </c>
      <c r="B23" s="53">
        <v>0.16</v>
      </c>
      <c r="C23" s="41">
        <v>0.26</v>
      </c>
      <c r="D23" s="41">
        <v>0.39</v>
      </c>
      <c r="E23" s="41">
        <v>0.46</v>
      </c>
      <c r="F23" s="41">
        <v>0.53</v>
      </c>
      <c r="G23" s="41">
        <v>0.63</v>
      </c>
      <c r="H23" s="41">
        <v>0.71</v>
      </c>
      <c r="I23" s="41">
        <v>0.79</v>
      </c>
      <c r="J23" s="41">
        <v>0.89</v>
      </c>
      <c r="K23" s="41">
        <v>1.01</v>
      </c>
      <c r="L23" s="41">
        <v>1.1399999999999999</v>
      </c>
      <c r="M23" s="41">
        <v>1.26</v>
      </c>
      <c r="N23" s="41">
        <v>1.41</v>
      </c>
      <c r="O23" s="41">
        <v>1.57</v>
      </c>
      <c r="P23" s="41">
        <v>1.74</v>
      </c>
      <c r="Q23" s="41">
        <v>1.93</v>
      </c>
      <c r="R23" s="41">
        <v>2.1800000000000002</v>
      </c>
      <c r="S23" s="41">
        <v>2.4900000000000002</v>
      </c>
      <c r="T23" s="41">
        <v>2.88</v>
      </c>
      <c r="U23" s="41">
        <v>3.31</v>
      </c>
      <c r="V23" s="41">
        <v>3.72</v>
      </c>
      <c r="W23" s="41">
        <v>4.08</v>
      </c>
      <c r="X23" s="41">
        <v>4.4800000000000004</v>
      </c>
      <c r="Y23" s="41">
        <v>4.91</v>
      </c>
      <c r="Z23" s="41">
        <v>5.53</v>
      </c>
      <c r="AA23" s="67">
        <v>6.2</v>
      </c>
    </row>
    <row r="24" spans="1:27">
      <c r="A24" s="55">
        <v>40</v>
      </c>
      <c r="B24" s="56">
        <v>0.17</v>
      </c>
      <c r="C24" s="57">
        <v>0.3</v>
      </c>
      <c r="D24" s="57">
        <v>0.43</v>
      </c>
      <c r="E24" s="57">
        <v>0.51</v>
      </c>
      <c r="F24" s="57">
        <v>0.59</v>
      </c>
      <c r="G24" s="57">
        <v>0.68</v>
      </c>
      <c r="H24" s="57">
        <v>0.76</v>
      </c>
      <c r="I24" s="57">
        <v>0.85</v>
      </c>
      <c r="J24" s="57">
        <v>0.97</v>
      </c>
      <c r="K24" s="57">
        <v>1.1200000000000001</v>
      </c>
      <c r="L24" s="57">
        <v>1.25</v>
      </c>
      <c r="M24" s="57">
        <v>1.38</v>
      </c>
      <c r="N24" s="57">
        <v>1.55</v>
      </c>
      <c r="O24" s="57">
        <v>1.73</v>
      </c>
      <c r="P24" s="57">
        <v>1.91</v>
      </c>
      <c r="Q24" s="57">
        <v>2.13</v>
      </c>
      <c r="R24" s="57">
        <v>2.4300000000000002</v>
      </c>
      <c r="S24" s="57">
        <v>2.8</v>
      </c>
      <c r="T24" s="57">
        <v>3.24</v>
      </c>
      <c r="U24" s="57">
        <v>3.69</v>
      </c>
      <c r="V24" s="57">
        <v>4.08</v>
      </c>
      <c r="W24" s="57">
        <v>4.4800000000000004</v>
      </c>
      <c r="X24" s="57">
        <v>4.88</v>
      </c>
      <c r="Y24" s="57">
        <v>5.45</v>
      </c>
      <c r="Z24" s="57">
        <v>6.16</v>
      </c>
      <c r="AA24" s="68">
        <v>6.88</v>
      </c>
    </row>
    <row r="25" spans="1:27">
      <c r="A25" s="52">
        <v>41</v>
      </c>
      <c r="B25" s="53">
        <v>0.19</v>
      </c>
      <c r="C25" s="41">
        <v>0.35</v>
      </c>
      <c r="D25" s="41">
        <v>0.47</v>
      </c>
      <c r="E25" s="41">
        <v>0.55000000000000004</v>
      </c>
      <c r="F25" s="41">
        <v>0.64</v>
      </c>
      <c r="G25" s="41">
        <v>0.73</v>
      </c>
      <c r="H25" s="41">
        <v>0.81</v>
      </c>
      <c r="I25" s="41">
        <v>0.92</v>
      </c>
      <c r="J25" s="41">
        <v>1.06</v>
      </c>
      <c r="K25" s="41">
        <v>1.22</v>
      </c>
      <c r="L25" s="41">
        <v>1.36</v>
      </c>
      <c r="M25" s="41">
        <v>1.51</v>
      </c>
      <c r="N25" s="41">
        <v>1.7</v>
      </c>
      <c r="O25" s="41">
        <v>1.9</v>
      </c>
      <c r="P25" s="41">
        <v>2.11</v>
      </c>
      <c r="Q25" s="41">
        <v>2.38</v>
      </c>
      <c r="R25" s="41">
        <v>2.74</v>
      </c>
      <c r="S25" s="41">
        <v>3.17</v>
      </c>
      <c r="T25" s="41">
        <v>3.64</v>
      </c>
      <c r="U25" s="41">
        <v>4.08</v>
      </c>
      <c r="V25" s="41">
        <v>4.4800000000000004</v>
      </c>
      <c r="W25" s="41">
        <v>4.87</v>
      </c>
      <c r="X25" s="41">
        <v>5.37</v>
      </c>
      <c r="Y25" s="41">
        <v>6.08</v>
      </c>
      <c r="Z25" s="41">
        <v>6.81</v>
      </c>
      <c r="AA25" s="67">
        <v>7.62</v>
      </c>
    </row>
    <row r="26" spans="1:27">
      <c r="A26" s="55">
        <v>42</v>
      </c>
      <c r="B26" s="56">
        <v>0.22</v>
      </c>
      <c r="C26" s="57">
        <v>0.39</v>
      </c>
      <c r="D26" s="57">
        <v>0.51</v>
      </c>
      <c r="E26" s="57">
        <v>0.59</v>
      </c>
      <c r="F26" s="57">
        <v>0.69</v>
      </c>
      <c r="G26" s="57">
        <v>0.77</v>
      </c>
      <c r="H26" s="57">
        <v>0.86</v>
      </c>
      <c r="I26" s="57">
        <v>0.99</v>
      </c>
      <c r="J26" s="57">
        <v>1.1599999999999999</v>
      </c>
      <c r="K26" s="57">
        <v>1.32</v>
      </c>
      <c r="L26" s="57">
        <v>1.47</v>
      </c>
      <c r="M26" s="57">
        <v>1.64</v>
      </c>
      <c r="N26" s="57">
        <v>1.86</v>
      </c>
      <c r="O26" s="57">
        <v>2.09</v>
      </c>
      <c r="P26" s="57">
        <v>2.34</v>
      </c>
      <c r="Q26" s="57">
        <v>2.67</v>
      </c>
      <c r="R26" s="57">
        <v>3.1</v>
      </c>
      <c r="S26" s="57">
        <v>3.58</v>
      </c>
      <c r="T26" s="57">
        <v>4.0599999999999996</v>
      </c>
      <c r="U26" s="57">
        <v>4.4800000000000004</v>
      </c>
      <c r="V26" s="57">
        <v>4.8600000000000003</v>
      </c>
      <c r="W26" s="57">
        <v>5.31</v>
      </c>
      <c r="X26" s="57">
        <v>5.91</v>
      </c>
      <c r="Y26" s="57">
        <v>6.65</v>
      </c>
      <c r="Z26" s="57">
        <v>7.49</v>
      </c>
      <c r="AA26" s="68">
        <v>8.42</v>
      </c>
    </row>
    <row r="27" spans="1:27">
      <c r="A27" s="52">
        <v>43</v>
      </c>
      <c r="B27" s="53">
        <v>0.26</v>
      </c>
      <c r="C27" s="41">
        <v>0.43</v>
      </c>
      <c r="D27" s="41">
        <v>0.54</v>
      </c>
      <c r="E27" s="41">
        <v>0.65</v>
      </c>
      <c r="F27" s="41">
        <v>0.74</v>
      </c>
      <c r="G27" s="41">
        <v>0.82</v>
      </c>
      <c r="H27" s="41">
        <v>0.92</v>
      </c>
      <c r="I27" s="41">
        <v>1.08</v>
      </c>
      <c r="J27" s="41">
        <v>1.26</v>
      </c>
      <c r="K27" s="41">
        <v>1.43</v>
      </c>
      <c r="L27" s="41">
        <v>1.59</v>
      </c>
      <c r="M27" s="41">
        <v>1.79</v>
      </c>
      <c r="N27" s="41">
        <v>2.0499999999999998</v>
      </c>
      <c r="O27" s="41">
        <v>2.31</v>
      </c>
      <c r="P27" s="41">
        <v>2.6</v>
      </c>
      <c r="Q27" s="41">
        <v>3</v>
      </c>
      <c r="R27" s="41">
        <v>3.5</v>
      </c>
      <c r="S27" s="41">
        <v>4.01</v>
      </c>
      <c r="T27" s="41">
        <v>4.4800000000000004</v>
      </c>
      <c r="U27" s="41">
        <v>4.8600000000000003</v>
      </c>
      <c r="V27" s="41">
        <v>5.27</v>
      </c>
      <c r="W27" s="41">
        <v>5.82</v>
      </c>
      <c r="X27" s="41">
        <v>6.53</v>
      </c>
      <c r="Y27" s="41">
        <v>7.36</v>
      </c>
      <c r="Z27" s="41">
        <v>8.2799999999999994</v>
      </c>
      <c r="AA27" s="67">
        <v>9.3000000000000007</v>
      </c>
    </row>
    <row r="28" spans="1:27">
      <c r="A28" s="55">
        <v>44</v>
      </c>
      <c r="B28" s="56">
        <v>0.31</v>
      </c>
      <c r="C28" s="57">
        <v>0.46</v>
      </c>
      <c r="D28" s="57">
        <v>0.57999999999999996</v>
      </c>
      <c r="E28" s="57">
        <v>0.71</v>
      </c>
      <c r="F28" s="57">
        <v>0.79</v>
      </c>
      <c r="G28" s="57">
        <v>0.87</v>
      </c>
      <c r="H28" s="57">
        <v>1</v>
      </c>
      <c r="I28" s="57">
        <v>1.18</v>
      </c>
      <c r="J28" s="57">
        <v>1.36</v>
      </c>
      <c r="K28" s="57">
        <v>1.53</v>
      </c>
      <c r="L28" s="57">
        <v>1.72</v>
      </c>
      <c r="M28" s="57">
        <v>1.96</v>
      </c>
      <c r="N28" s="57">
        <v>2.2599999999999998</v>
      </c>
      <c r="O28" s="57">
        <v>2.56</v>
      </c>
      <c r="P28" s="57">
        <v>2.9</v>
      </c>
      <c r="Q28" s="57">
        <v>3.36</v>
      </c>
      <c r="R28" s="57">
        <v>3.91</v>
      </c>
      <c r="S28" s="57">
        <v>4.43</v>
      </c>
      <c r="T28" s="57">
        <v>4.8499999999999996</v>
      </c>
      <c r="U28" s="57">
        <v>5.25</v>
      </c>
      <c r="V28" s="57">
        <v>5.73</v>
      </c>
      <c r="W28" s="57">
        <v>6.42</v>
      </c>
      <c r="X28" s="57">
        <v>7.25</v>
      </c>
      <c r="Y28" s="57">
        <v>8.17</v>
      </c>
      <c r="Z28" s="57">
        <v>9.17</v>
      </c>
      <c r="AA28" s="68">
        <v>10.3</v>
      </c>
    </row>
    <row r="29" spans="1:27">
      <c r="A29" s="52">
        <v>45</v>
      </c>
      <c r="B29" s="53">
        <v>0.35</v>
      </c>
      <c r="C29" s="41">
        <v>0.49</v>
      </c>
      <c r="D29" s="41">
        <v>0.63</v>
      </c>
      <c r="E29" s="41">
        <v>0.77</v>
      </c>
      <c r="F29" s="41">
        <v>0.84</v>
      </c>
      <c r="G29" s="41">
        <v>0.94</v>
      </c>
      <c r="H29" s="41">
        <v>1.1000000000000001</v>
      </c>
      <c r="I29" s="41">
        <v>1.29</v>
      </c>
      <c r="J29" s="41">
        <v>1.47</v>
      </c>
      <c r="K29" s="41">
        <v>1.65</v>
      </c>
      <c r="L29" s="41">
        <v>1.88</v>
      </c>
      <c r="M29" s="41">
        <v>2.16</v>
      </c>
      <c r="N29" s="41">
        <v>2.4900000000000002</v>
      </c>
      <c r="O29" s="41">
        <v>2.82</v>
      </c>
      <c r="P29" s="41">
        <v>3.22</v>
      </c>
      <c r="Q29" s="41">
        <v>3.74</v>
      </c>
      <c r="R29" s="41">
        <v>4.33</v>
      </c>
      <c r="S29" s="41">
        <v>4.84</v>
      </c>
      <c r="T29" s="41">
        <v>5.25</v>
      </c>
      <c r="U29" s="41">
        <v>5.72</v>
      </c>
      <c r="V29" s="41">
        <v>6.27</v>
      </c>
      <c r="W29" s="41">
        <v>7.15</v>
      </c>
      <c r="X29" s="41">
        <v>8.11</v>
      </c>
      <c r="Y29" s="41">
        <v>9.1300000000000008</v>
      </c>
      <c r="Z29" s="41">
        <v>10.210000000000001</v>
      </c>
      <c r="AA29" s="67">
        <v>11.47</v>
      </c>
    </row>
    <row r="30" spans="1:27">
      <c r="A30" s="55">
        <v>46</v>
      </c>
      <c r="B30" s="56">
        <v>0.41</v>
      </c>
      <c r="C30" s="57">
        <v>0.51</v>
      </c>
      <c r="D30" s="57">
        <v>0.68</v>
      </c>
      <c r="E30" s="57">
        <v>0.83</v>
      </c>
      <c r="F30" s="57">
        <v>0.91</v>
      </c>
      <c r="G30" s="57">
        <v>1.03</v>
      </c>
      <c r="H30" s="57">
        <v>1.22</v>
      </c>
      <c r="I30" s="57">
        <v>1.42</v>
      </c>
      <c r="J30" s="57">
        <v>1.59</v>
      </c>
      <c r="K30" s="57">
        <v>1.8</v>
      </c>
      <c r="L30" s="57">
        <v>2.0699999999999998</v>
      </c>
      <c r="M30" s="57">
        <v>2.39</v>
      </c>
      <c r="N30" s="57">
        <v>2.74</v>
      </c>
      <c r="O30" s="57">
        <v>3.11</v>
      </c>
      <c r="P30" s="57">
        <v>3.57</v>
      </c>
      <c r="Q30" s="57">
        <v>4.13</v>
      </c>
      <c r="R30" s="57">
        <v>4.74</v>
      </c>
      <c r="S30" s="57">
        <v>5.23</v>
      </c>
      <c r="T30" s="57">
        <v>5.71</v>
      </c>
      <c r="U30" s="57">
        <v>6.23</v>
      </c>
      <c r="V30" s="57">
        <v>6.94</v>
      </c>
      <c r="W30" s="57">
        <v>8.01</v>
      </c>
      <c r="X30" s="57">
        <v>9.06</v>
      </c>
      <c r="Y30" s="57">
        <v>10.17</v>
      </c>
      <c r="Z30" s="57">
        <v>11.44</v>
      </c>
      <c r="AA30" s="68">
        <v>12.86</v>
      </c>
    </row>
    <row r="31" spans="1:27">
      <c r="A31" s="52">
        <v>47</v>
      </c>
      <c r="B31" s="53">
        <v>0.45</v>
      </c>
      <c r="C31" s="41">
        <v>0.53</v>
      </c>
      <c r="D31" s="41">
        <v>0.73</v>
      </c>
      <c r="E31" s="41">
        <v>0.9</v>
      </c>
      <c r="F31" s="41">
        <v>1</v>
      </c>
      <c r="G31" s="41">
        <v>1.1599999999999999</v>
      </c>
      <c r="H31" s="41">
        <v>1.37</v>
      </c>
      <c r="I31" s="41">
        <v>1.55</v>
      </c>
      <c r="J31" s="41">
        <v>1.73</v>
      </c>
      <c r="K31" s="41">
        <v>1.99</v>
      </c>
      <c r="L31" s="41">
        <v>2.2999999999999998</v>
      </c>
      <c r="M31" s="41">
        <v>2.65</v>
      </c>
      <c r="N31" s="41">
        <v>3.01</v>
      </c>
      <c r="O31" s="41">
        <v>3.42</v>
      </c>
      <c r="P31" s="41">
        <v>3.92</v>
      </c>
      <c r="Q31" s="41">
        <v>4.53</v>
      </c>
      <c r="R31" s="41">
        <v>5.16</v>
      </c>
      <c r="S31" s="41">
        <v>5.7</v>
      </c>
      <c r="T31" s="41">
        <v>6.19</v>
      </c>
      <c r="U31" s="41">
        <v>6.81</v>
      </c>
      <c r="V31" s="41">
        <v>7.74</v>
      </c>
      <c r="W31" s="41">
        <v>9</v>
      </c>
      <c r="X31" s="41">
        <v>10.15</v>
      </c>
      <c r="Y31" s="41">
        <v>11.42</v>
      </c>
      <c r="Z31" s="41">
        <v>12.84</v>
      </c>
      <c r="AA31" s="67">
        <v>14.52</v>
      </c>
    </row>
    <row r="32" spans="1:27">
      <c r="A32" s="55">
        <v>48</v>
      </c>
      <c r="B32" s="56">
        <v>0.49</v>
      </c>
      <c r="C32" s="57">
        <v>0.56000000000000005</v>
      </c>
      <c r="D32" s="57">
        <v>0.8</v>
      </c>
      <c r="E32" s="57">
        <v>0.97</v>
      </c>
      <c r="F32" s="57">
        <v>1.1100000000000001</v>
      </c>
      <c r="G32" s="57">
        <v>1.32</v>
      </c>
      <c r="H32" s="57">
        <v>1.52</v>
      </c>
      <c r="I32" s="57">
        <v>1.69</v>
      </c>
      <c r="J32" s="57">
        <v>1.9</v>
      </c>
      <c r="K32" s="57">
        <v>2.21</v>
      </c>
      <c r="L32" s="57">
        <v>2.57</v>
      </c>
      <c r="M32" s="57">
        <v>2.92</v>
      </c>
      <c r="N32" s="57">
        <v>3.3</v>
      </c>
      <c r="O32" s="57">
        <v>3.74</v>
      </c>
      <c r="P32" s="57">
        <v>4.29</v>
      </c>
      <c r="Q32" s="57">
        <v>4.96</v>
      </c>
      <c r="R32" s="57">
        <v>5.62</v>
      </c>
      <c r="S32" s="57">
        <v>6.18</v>
      </c>
      <c r="T32" s="57">
        <v>6.77</v>
      </c>
      <c r="U32" s="57">
        <v>7.55</v>
      </c>
      <c r="V32" s="57">
        <v>8.6999999999999993</v>
      </c>
      <c r="W32" s="57">
        <v>10.130000000000001</v>
      </c>
      <c r="X32" s="57">
        <v>11.4</v>
      </c>
      <c r="Y32" s="57">
        <v>12.82</v>
      </c>
      <c r="Z32" s="57">
        <v>14.47</v>
      </c>
      <c r="AA32" s="68">
        <v>16.46</v>
      </c>
    </row>
    <row r="33" spans="1:27">
      <c r="A33" s="52">
        <v>49</v>
      </c>
      <c r="B33" s="53">
        <v>0.51</v>
      </c>
      <c r="C33" s="41">
        <v>0.61</v>
      </c>
      <c r="D33" s="41">
        <v>0.87</v>
      </c>
      <c r="E33" s="41">
        <v>1.06</v>
      </c>
      <c r="F33" s="41">
        <v>1.25</v>
      </c>
      <c r="G33" s="41">
        <v>1.48</v>
      </c>
      <c r="H33" s="41">
        <v>1.67</v>
      </c>
      <c r="I33" s="41">
        <v>1.84</v>
      </c>
      <c r="J33" s="41">
        <v>2.1</v>
      </c>
      <c r="K33" s="41">
        <v>2.48</v>
      </c>
      <c r="L33" s="41">
        <v>2.86</v>
      </c>
      <c r="M33" s="41">
        <v>3.2</v>
      </c>
      <c r="N33" s="41">
        <v>3.58</v>
      </c>
      <c r="O33" s="41">
        <v>4.0599999999999996</v>
      </c>
      <c r="P33" s="41">
        <v>4.67</v>
      </c>
      <c r="Q33" s="41">
        <v>5.39</v>
      </c>
      <c r="R33" s="41">
        <v>6.09</v>
      </c>
      <c r="S33" s="41">
        <v>6.71</v>
      </c>
      <c r="T33" s="41">
        <v>7.42</v>
      </c>
      <c r="U33" s="41">
        <v>8.39</v>
      </c>
      <c r="V33" s="41">
        <v>9.77</v>
      </c>
      <c r="W33" s="41">
        <v>11.36</v>
      </c>
      <c r="X33" s="41">
        <v>12.8</v>
      </c>
      <c r="Y33" s="41">
        <v>14.43</v>
      </c>
      <c r="Z33" s="41">
        <v>16.34</v>
      </c>
      <c r="AA33" s="67">
        <v>18.670000000000002</v>
      </c>
    </row>
    <row r="34" spans="1:27">
      <c r="A34" s="55">
        <v>50</v>
      </c>
      <c r="B34" s="56">
        <v>0.52</v>
      </c>
      <c r="C34" s="57">
        <v>0.68</v>
      </c>
      <c r="D34" s="57">
        <v>0.96</v>
      </c>
      <c r="E34" s="57">
        <v>1.1599999999999999</v>
      </c>
      <c r="F34" s="57">
        <v>1.4</v>
      </c>
      <c r="G34" s="57">
        <v>1.64</v>
      </c>
      <c r="H34" s="57">
        <v>1.81</v>
      </c>
      <c r="I34" s="57">
        <v>2.0099999999999998</v>
      </c>
      <c r="J34" s="57">
        <v>2.34</v>
      </c>
      <c r="K34" s="57">
        <v>2.78</v>
      </c>
      <c r="L34" s="57">
        <v>3.16</v>
      </c>
      <c r="M34" s="57">
        <v>3.48</v>
      </c>
      <c r="N34" s="57">
        <v>3.88</v>
      </c>
      <c r="O34" s="57">
        <v>4.42</v>
      </c>
      <c r="P34" s="57">
        <v>5.0999999999999996</v>
      </c>
      <c r="Q34" s="57">
        <v>5.87</v>
      </c>
      <c r="R34" s="57">
        <v>6.61</v>
      </c>
      <c r="S34" s="57">
        <v>7.3</v>
      </c>
      <c r="T34" s="57">
        <v>8.17</v>
      </c>
      <c r="U34" s="57">
        <v>9.36</v>
      </c>
      <c r="V34" s="57">
        <v>10.95</v>
      </c>
      <c r="W34" s="57">
        <v>12.63</v>
      </c>
      <c r="X34" s="57">
        <v>14.33</v>
      </c>
      <c r="Y34" s="57">
        <v>16.32</v>
      </c>
      <c r="Z34" s="57">
        <v>18.55</v>
      </c>
      <c r="AA34" s="68">
        <v>21.14</v>
      </c>
    </row>
    <row r="35" spans="1:27">
      <c r="A35" s="52">
        <v>51</v>
      </c>
      <c r="B35" s="53">
        <v>0.53</v>
      </c>
      <c r="C35" s="41">
        <v>0.77</v>
      </c>
      <c r="D35" s="41">
        <v>1.06</v>
      </c>
      <c r="E35" s="41">
        <v>1.28</v>
      </c>
      <c r="F35" s="41">
        <v>1.55</v>
      </c>
      <c r="G35" s="41">
        <v>1.77</v>
      </c>
      <c r="H35" s="41">
        <v>1.93</v>
      </c>
      <c r="I35" s="41">
        <v>2.1800000000000002</v>
      </c>
      <c r="J35" s="41">
        <v>2.61</v>
      </c>
      <c r="K35" s="41">
        <v>3.1</v>
      </c>
      <c r="L35" s="41">
        <v>3.46</v>
      </c>
      <c r="M35" s="41">
        <v>3.83</v>
      </c>
      <c r="N35" s="41">
        <v>4.22</v>
      </c>
      <c r="O35" s="41">
        <v>4.83</v>
      </c>
      <c r="P35" s="41">
        <v>5.59</v>
      </c>
      <c r="Q35" s="41">
        <v>6.42</v>
      </c>
      <c r="R35" s="41">
        <v>7.2</v>
      </c>
      <c r="S35" s="41">
        <v>8.01</v>
      </c>
      <c r="T35" s="41">
        <v>9.07</v>
      </c>
      <c r="U35" s="41">
        <v>10.46</v>
      </c>
      <c r="V35" s="41">
        <v>12.18</v>
      </c>
      <c r="W35" s="41">
        <v>13.98</v>
      </c>
      <c r="X35" s="41">
        <v>15.96</v>
      </c>
      <c r="Y35" s="41">
        <v>18.28</v>
      </c>
      <c r="Z35" s="41">
        <v>20.91</v>
      </c>
      <c r="AA35" s="67">
        <v>23.85</v>
      </c>
    </row>
    <row r="36" spans="1:27">
      <c r="A36" s="55">
        <v>52</v>
      </c>
      <c r="B36" s="56">
        <v>0.53</v>
      </c>
      <c r="C36" s="57">
        <v>0.88</v>
      </c>
      <c r="D36" s="57">
        <v>1.18</v>
      </c>
      <c r="E36" s="57">
        <v>1.42</v>
      </c>
      <c r="F36" s="57">
        <v>1.7</v>
      </c>
      <c r="G36" s="57">
        <v>1.88</v>
      </c>
      <c r="H36" s="57">
        <v>2.06</v>
      </c>
      <c r="I36" s="57">
        <v>2.39</v>
      </c>
      <c r="J36" s="57">
        <v>2.91</v>
      </c>
      <c r="K36" s="57">
        <v>3.43</v>
      </c>
      <c r="L36" s="57">
        <v>3.78</v>
      </c>
      <c r="M36" s="57">
        <v>4.1900000000000004</v>
      </c>
      <c r="N36" s="57">
        <v>4.6399999999999997</v>
      </c>
      <c r="O36" s="57">
        <v>5.37</v>
      </c>
      <c r="P36" s="57">
        <v>6.21</v>
      </c>
      <c r="Q36" s="57">
        <v>7.09</v>
      </c>
      <c r="R36" s="57">
        <v>7.93</v>
      </c>
      <c r="S36" s="57">
        <v>8.8800000000000008</v>
      </c>
      <c r="T36" s="57">
        <v>10.16</v>
      </c>
      <c r="U36" s="57">
        <v>11.77</v>
      </c>
      <c r="V36" s="57">
        <v>13.65</v>
      </c>
      <c r="W36" s="57">
        <v>15.58</v>
      </c>
      <c r="X36" s="57">
        <v>17.78</v>
      </c>
      <c r="Y36" s="57">
        <v>20.440000000000001</v>
      </c>
      <c r="Z36" s="57">
        <v>23.47</v>
      </c>
      <c r="AA36" s="68">
        <v>26.83</v>
      </c>
    </row>
    <row r="37" spans="1:27">
      <c r="A37" s="52">
        <v>53</v>
      </c>
      <c r="B37" s="53">
        <v>0.53</v>
      </c>
      <c r="C37" s="41">
        <v>0.99</v>
      </c>
      <c r="D37" s="41">
        <v>1.31</v>
      </c>
      <c r="E37" s="41">
        <v>1.6</v>
      </c>
      <c r="F37" s="41">
        <v>1.85</v>
      </c>
      <c r="G37" s="41">
        <v>2</v>
      </c>
      <c r="H37" s="41">
        <v>2.2400000000000002</v>
      </c>
      <c r="I37" s="41">
        <v>2.65</v>
      </c>
      <c r="J37" s="41">
        <v>3.24</v>
      </c>
      <c r="K37" s="41">
        <v>3.77</v>
      </c>
      <c r="L37" s="41">
        <v>4.16</v>
      </c>
      <c r="M37" s="41">
        <v>4.59</v>
      </c>
      <c r="N37" s="41">
        <v>5.17</v>
      </c>
      <c r="O37" s="41">
        <v>6.03</v>
      </c>
      <c r="P37" s="41">
        <v>6.95</v>
      </c>
      <c r="Q37" s="41">
        <v>7.91</v>
      </c>
      <c r="R37" s="41">
        <v>8.8800000000000008</v>
      </c>
      <c r="S37" s="41">
        <v>10.119999999999999</v>
      </c>
      <c r="T37" s="41">
        <v>11.45</v>
      </c>
      <c r="U37" s="41">
        <v>13.22</v>
      </c>
      <c r="V37" s="41">
        <v>15.25</v>
      </c>
      <c r="W37" s="41">
        <v>17.440000000000001</v>
      </c>
      <c r="X37" s="41">
        <v>19.95</v>
      </c>
      <c r="Y37" s="41">
        <v>22.95</v>
      </c>
      <c r="Z37" s="41">
        <v>26.34</v>
      </c>
      <c r="AA37" s="67">
        <v>30.13</v>
      </c>
    </row>
    <row r="38" spans="1:27">
      <c r="A38" s="55">
        <v>54</v>
      </c>
      <c r="B38" s="56">
        <v>0.54</v>
      </c>
      <c r="C38" s="57">
        <v>1.0900000000000001</v>
      </c>
      <c r="D38" s="57">
        <v>1.46</v>
      </c>
      <c r="E38" s="57">
        <v>1.81</v>
      </c>
      <c r="F38" s="57">
        <v>1.99</v>
      </c>
      <c r="G38" s="57">
        <v>2.17</v>
      </c>
      <c r="H38" s="57">
        <v>2.4700000000000002</v>
      </c>
      <c r="I38" s="57">
        <v>2.96</v>
      </c>
      <c r="J38" s="57">
        <v>3.6</v>
      </c>
      <c r="K38" s="57">
        <v>4.1399999999999997</v>
      </c>
      <c r="L38" s="57">
        <v>4.55</v>
      </c>
      <c r="M38" s="57">
        <v>5.0599999999999996</v>
      </c>
      <c r="N38" s="57">
        <v>5.88</v>
      </c>
      <c r="O38" s="57">
        <v>6.87</v>
      </c>
      <c r="P38" s="57">
        <v>7.89</v>
      </c>
      <c r="Q38" s="57">
        <v>8.8800000000000008</v>
      </c>
      <c r="R38" s="57">
        <v>10.08</v>
      </c>
      <c r="S38" s="57">
        <v>11.37</v>
      </c>
      <c r="T38" s="57">
        <v>13.04</v>
      </c>
      <c r="U38" s="57">
        <v>14.98</v>
      </c>
      <c r="V38" s="57">
        <v>17.16</v>
      </c>
      <c r="W38" s="57">
        <v>19.84</v>
      </c>
      <c r="X38" s="57">
        <v>22.88</v>
      </c>
      <c r="Y38" s="57">
        <v>26.26</v>
      </c>
      <c r="Z38" s="57">
        <v>29.78</v>
      </c>
      <c r="AA38" s="68">
        <v>33.9</v>
      </c>
    </row>
    <row r="39" spans="1:27">
      <c r="A39" s="52">
        <v>55</v>
      </c>
      <c r="B39" s="53">
        <v>0.55000000000000004</v>
      </c>
      <c r="C39" s="41">
        <v>1.17</v>
      </c>
      <c r="D39" s="41">
        <v>1.63</v>
      </c>
      <c r="E39" s="41">
        <v>1.96</v>
      </c>
      <c r="F39" s="41">
        <v>2.14</v>
      </c>
      <c r="G39" s="41">
        <v>2.3199999999999998</v>
      </c>
      <c r="H39" s="41">
        <v>2.69</v>
      </c>
      <c r="I39" s="41">
        <v>3.34</v>
      </c>
      <c r="J39" s="41">
        <v>4</v>
      </c>
      <c r="K39" s="41">
        <v>4.55</v>
      </c>
      <c r="L39" s="41">
        <v>5.0599999999999996</v>
      </c>
      <c r="M39" s="41">
        <v>5.76</v>
      </c>
      <c r="N39" s="41">
        <v>6.76</v>
      </c>
      <c r="O39" s="41">
        <v>7.87</v>
      </c>
      <c r="P39" s="41">
        <v>8.8699999999999992</v>
      </c>
      <c r="Q39" s="41">
        <v>10.029999999999999</v>
      </c>
      <c r="R39" s="41">
        <v>11.3</v>
      </c>
      <c r="S39" s="41">
        <v>12.88</v>
      </c>
      <c r="T39" s="41">
        <v>14.84</v>
      </c>
      <c r="U39" s="41">
        <v>17.079999999999998</v>
      </c>
      <c r="V39" s="41">
        <v>19.53</v>
      </c>
      <c r="W39" s="41">
        <v>22.63</v>
      </c>
      <c r="X39" s="41">
        <v>26.01</v>
      </c>
      <c r="Y39" s="41">
        <v>29.7</v>
      </c>
      <c r="Z39" s="60">
        <v>33.9</v>
      </c>
      <c r="AA39" s="44">
        <v>38.26</v>
      </c>
    </row>
    <row r="40" spans="1:27">
      <c r="A40" s="55">
        <v>56</v>
      </c>
      <c r="B40" s="56">
        <v>0.63</v>
      </c>
      <c r="C40" s="57">
        <v>1.22</v>
      </c>
      <c r="D40" s="57">
        <v>1.8</v>
      </c>
      <c r="E40" s="57">
        <v>2.11</v>
      </c>
      <c r="F40" s="57">
        <v>2.29</v>
      </c>
      <c r="G40" s="57">
        <v>2.56</v>
      </c>
      <c r="H40" s="57">
        <v>3.06</v>
      </c>
      <c r="I40" s="57">
        <v>3.77</v>
      </c>
      <c r="J40" s="57">
        <v>4.43</v>
      </c>
      <c r="K40" s="57">
        <v>5.0199999999999996</v>
      </c>
      <c r="L40" s="57">
        <v>5.69</v>
      </c>
      <c r="M40" s="57">
        <v>6.61</v>
      </c>
      <c r="N40" s="57">
        <v>7.74</v>
      </c>
      <c r="O40" s="57">
        <v>8.86</v>
      </c>
      <c r="P40" s="57">
        <v>9.99</v>
      </c>
      <c r="Q40" s="57">
        <v>11.26</v>
      </c>
      <c r="R40" s="57">
        <v>12.81</v>
      </c>
      <c r="S40" s="57">
        <v>14.71</v>
      </c>
      <c r="T40" s="57">
        <v>17</v>
      </c>
      <c r="U40" s="57">
        <v>19.48</v>
      </c>
      <c r="V40" s="57">
        <v>22.41</v>
      </c>
      <c r="W40" s="57">
        <v>25.85</v>
      </c>
      <c r="X40" s="57">
        <v>29.66</v>
      </c>
      <c r="Y40" s="49">
        <v>33.9</v>
      </c>
      <c r="Z40" s="57">
        <v>38.26</v>
      </c>
      <c r="AA40" s="69">
        <v>43.36</v>
      </c>
    </row>
    <row r="41" spans="1:27">
      <c r="A41" s="52">
        <v>57</v>
      </c>
      <c r="B41" s="53">
        <v>0.77</v>
      </c>
      <c r="C41" s="41">
        <v>1.26</v>
      </c>
      <c r="D41" s="41">
        <v>1.97</v>
      </c>
      <c r="E41" s="41">
        <v>2.27</v>
      </c>
      <c r="F41" s="41">
        <v>2.5099999999999998</v>
      </c>
      <c r="G41" s="41">
        <v>2.84</v>
      </c>
      <c r="H41" s="41">
        <v>3.5</v>
      </c>
      <c r="I41" s="41">
        <v>4.25</v>
      </c>
      <c r="J41" s="41">
        <v>4.91</v>
      </c>
      <c r="K41" s="41">
        <v>5.59</v>
      </c>
      <c r="L41" s="41">
        <v>6.44</v>
      </c>
      <c r="M41" s="41">
        <v>7.56</v>
      </c>
      <c r="N41" s="41">
        <v>8.83</v>
      </c>
      <c r="O41" s="41">
        <v>9.9700000000000006</v>
      </c>
      <c r="P41" s="41">
        <v>11.16</v>
      </c>
      <c r="Q41" s="41">
        <v>12.71</v>
      </c>
      <c r="R41" s="41">
        <v>14.59</v>
      </c>
      <c r="S41" s="41">
        <v>16.77</v>
      </c>
      <c r="T41" s="41">
        <v>19.309999999999999</v>
      </c>
      <c r="U41" s="41">
        <v>22.16</v>
      </c>
      <c r="V41" s="41">
        <v>25.38</v>
      </c>
      <c r="W41" s="41">
        <v>29.19</v>
      </c>
      <c r="X41" s="41">
        <v>33.76</v>
      </c>
      <c r="Y41" s="53">
        <v>38.26</v>
      </c>
      <c r="Z41" s="41">
        <v>43.36</v>
      </c>
      <c r="AA41" s="44">
        <v>49.07</v>
      </c>
    </row>
    <row r="42" spans="1:27">
      <c r="A42" s="55">
        <v>58</v>
      </c>
      <c r="B42" s="56">
        <v>0.94</v>
      </c>
      <c r="C42" s="57">
        <v>1.31</v>
      </c>
      <c r="D42" s="57">
        <v>2.11</v>
      </c>
      <c r="E42" s="57">
        <v>2.4700000000000002</v>
      </c>
      <c r="F42" s="57">
        <v>2.76</v>
      </c>
      <c r="G42" s="57">
        <v>3.22</v>
      </c>
      <c r="H42" s="57">
        <v>4</v>
      </c>
      <c r="I42" s="57">
        <v>4.75</v>
      </c>
      <c r="J42" s="57">
        <v>5.43</v>
      </c>
      <c r="K42" s="57">
        <v>6.25</v>
      </c>
      <c r="L42" s="57">
        <v>7.31</v>
      </c>
      <c r="M42" s="57">
        <v>8.6199999999999992</v>
      </c>
      <c r="N42" s="57">
        <v>9.92</v>
      </c>
      <c r="O42" s="57">
        <v>11.15</v>
      </c>
      <c r="P42" s="57">
        <v>12.59</v>
      </c>
      <c r="Q42" s="57">
        <v>14.37</v>
      </c>
      <c r="R42" s="57">
        <v>16.649999999999999</v>
      </c>
      <c r="S42" s="57">
        <v>19.190000000000001</v>
      </c>
      <c r="T42" s="57">
        <v>22.04</v>
      </c>
      <c r="U42" s="57">
        <v>25.22</v>
      </c>
      <c r="V42" s="57">
        <v>29.15</v>
      </c>
      <c r="W42" s="57">
        <v>33.61</v>
      </c>
      <c r="X42" s="49">
        <v>38.26</v>
      </c>
      <c r="Y42" s="57">
        <v>43.36</v>
      </c>
      <c r="Z42" s="57">
        <v>49.07</v>
      </c>
      <c r="AA42" s="70">
        <v>55.63</v>
      </c>
    </row>
    <row r="43" spans="1:27">
      <c r="A43" s="52">
        <v>59</v>
      </c>
      <c r="B43" s="53">
        <v>1.1499999999999999</v>
      </c>
      <c r="C43" s="41">
        <v>1.39</v>
      </c>
      <c r="D43" s="41">
        <v>2.23</v>
      </c>
      <c r="E43" s="41">
        <v>2.68</v>
      </c>
      <c r="F43" s="41">
        <v>2.98</v>
      </c>
      <c r="G43" s="41">
        <v>3.67</v>
      </c>
      <c r="H43" s="41">
        <v>4.5</v>
      </c>
      <c r="I43" s="41">
        <v>5.24</v>
      </c>
      <c r="J43" s="41">
        <v>6</v>
      </c>
      <c r="K43" s="41">
        <v>7.01</v>
      </c>
      <c r="L43" s="41">
        <v>8.26</v>
      </c>
      <c r="M43" s="41">
        <v>9.65</v>
      </c>
      <c r="N43" s="41">
        <v>11.09</v>
      </c>
      <c r="O43" s="41">
        <v>12.57</v>
      </c>
      <c r="P43" s="41">
        <v>14.18</v>
      </c>
      <c r="Q43" s="41">
        <v>16.29</v>
      </c>
      <c r="R43" s="41">
        <v>18.98</v>
      </c>
      <c r="S43" s="41">
        <v>21.84</v>
      </c>
      <c r="T43" s="41">
        <v>24.93</v>
      </c>
      <c r="U43" s="41">
        <v>28.46</v>
      </c>
      <c r="V43" s="41">
        <v>32.83</v>
      </c>
      <c r="W43" s="41">
        <v>37.9</v>
      </c>
      <c r="X43" s="53">
        <v>43.36</v>
      </c>
      <c r="Y43" s="41">
        <v>49.07</v>
      </c>
      <c r="Z43" s="41">
        <v>55.63</v>
      </c>
      <c r="AA43" s="71">
        <v>63.22</v>
      </c>
    </row>
    <row r="44" spans="1:27">
      <c r="A44" s="55">
        <v>60</v>
      </c>
      <c r="B44" s="56">
        <v>1.36</v>
      </c>
      <c r="C44" s="57">
        <v>1.53</v>
      </c>
      <c r="D44" s="57">
        <v>2.3199999999999998</v>
      </c>
      <c r="E44" s="57">
        <v>2.76</v>
      </c>
      <c r="F44" s="57">
        <v>3.28</v>
      </c>
      <c r="G44" s="57">
        <v>4.13</v>
      </c>
      <c r="H44" s="57">
        <v>4.9800000000000004</v>
      </c>
      <c r="I44" s="57">
        <v>5.74</v>
      </c>
      <c r="J44" s="57">
        <v>6.62</v>
      </c>
      <c r="K44" s="57">
        <v>7.84</v>
      </c>
      <c r="L44" s="57">
        <v>9.31</v>
      </c>
      <c r="M44" s="57">
        <v>10.87</v>
      </c>
      <c r="N44" s="57">
        <v>12.4</v>
      </c>
      <c r="O44" s="57">
        <v>13.97</v>
      </c>
      <c r="P44" s="57">
        <v>15.88</v>
      </c>
      <c r="Q44" s="57">
        <v>18.440000000000001</v>
      </c>
      <c r="R44" s="57">
        <v>21.55</v>
      </c>
      <c r="S44" s="57">
        <v>24.81</v>
      </c>
      <c r="T44" s="57">
        <v>28.42</v>
      </c>
      <c r="U44" s="57">
        <v>32.71</v>
      </c>
      <c r="V44" s="57">
        <v>37.76</v>
      </c>
      <c r="W44" s="49">
        <v>43.36</v>
      </c>
      <c r="X44" s="57">
        <v>49.07</v>
      </c>
      <c r="Y44" s="57">
        <v>55.63</v>
      </c>
      <c r="Z44" s="57">
        <v>63.22</v>
      </c>
      <c r="AA44" s="70">
        <v>72.040000000000006</v>
      </c>
    </row>
    <row r="45" spans="1:27">
      <c r="A45" s="52">
        <v>61</v>
      </c>
      <c r="B45" s="53">
        <v>1.51</v>
      </c>
      <c r="C45" s="41">
        <v>1.72</v>
      </c>
      <c r="D45" s="41">
        <v>2.4300000000000002</v>
      </c>
      <c r="E45" s="41">
        <v>2.88</v>
      </c>
      <c r="F45" s="41">
        <v>3.63</v>
      </c>
      <c r="G45" s="41">
        <v>4.57</v>
      </c>
      <c r="H45" s="41">
        <v>5.43</v>
      </c>
      <c r="I45" s="41">
        <v>6.25</v>
      </c>
      <c r="J45" s="41">
        <v>7.31</v>
      </c>
      <c r="K45" s="41">
        <v>8.73</v>
      </c>
      <c r="L45" s="41">
        <v>10.33</v>
      </c>
      <c r="M45" s="41">
        <v>11.97</v>
      </c>
      <c r="N45" s="41">
        <v>13.61</v>
      </c>
      <c r="O45" s="41">
        <v>15.45</v>
      </c>
      <c r="P45" s="41">
        <v>17.8</v>
      </c>
      <c r="Q45" s="41">
        <v>20.83</v>
      </c>
      <c r="R45" s="41">
        <v>24.36</v>
      </c>
      <c r="S45" s="41">
        <v>28.07</v>
      </c>
      <c r="T45" s="41">
        <v>32.229999999999997</v>
      </c>
      <c r="U45" s="41">
        <v>37.1</v>
      </c>
      <c r="V45" s="41">
        <v>42.81</v>
      </c>
      <c r="W45" s="53">
        <v>49.07</v>
      </c>
      <c r="X45" s="41">
        <v>55.63</v>
      </c>
      <c r="Y45" s="41">
        <v>63.22</v>
      </c>
      <c r="Z45" s="41">
        <v>72.040000000000006</v>
      </c>
      <c r="AA45" s="71">
        <v>82.26</v>
      </c>
    </row>
    <row r="46" spans="1:27">
      <c r="A46" s="55">
        <v>62</v>
      </c>
      <c r="B46" s="56">
        <v>1.6</v>
      </c>
      <c r="C46" s="57">
        <v>1.97</v>
      </c>
      <c r="D46" s="57">
        <v>2.57</v>
      </c>
      <c r="E46" s="57">
        <v>3.08</v>
      </c>
      <c r="F46" s="57">
        <v>4.0199999999999996</v>
      </c>
      <c r="G46" s="57">
        <v>5</v>
      </c>
      <c r="H46" s="57">
        <v>5.86</v>
      </c>
      <c r="I46" s="57">
        <v>6.79</v>
      </c>
      <c r="J46" s="57">
        <v>8.0500000000000007</v>
      </c>
      <c r="K46" s="57">
        <v>9.65</v>
      </c>
      <c r="L46" s="57">
        <v>11.36</v>
      </c>
      <c r="M46" s="57">
        <v>13.07</v>
      </c>
      <c r="N46" s="57">
        <v>14.89</v>
      </c>
      <c r="O46" s="57">
        <v>17.079999999999998</v>
      </c>
      <c r="P46" s="57">
        <v>19.91</v>
      </c>
      <c r="Q46" s="57">
        <v>23.42</v>
      </c>
      <c r="R46" s="57">
        <v>27.43</v>
      </c>
      <c r="S46" s="57">
        <v>31.78</v>
      </c>
      <c r="T46" s="57">
        <v>36.89</v>
      </c>
      <c r="U46" s="57">
        <v>42.62</v>
      </c>
      <c r="V46" s="49">
        <v>49.07</v>
      </c>
      <c r="W46" s="57">
        <v>55.63</v>
      </c>
      <c r="X46" s="57">
        <v>63.22</v>
      </c>
      <c r="Y46" s="57">
        <v>72.040000000000006</v>
      </c>
      <c r="Z46" s="57">
        <v>82.26</v>
      </c>
      <c r="AA46" s="70">
        <v>93.99</v>
      </c>
    </row>
    <row r="47" spans="1:27">
      <c r="A47" s="52">
        <v>63</v>
      </c>
      <c r="B47" s="53">
        <v>1.66</v>
      </c>
      <c r="C47" s="41">
        <v>2.27</v>
      </c>
      <c r="D47" s="41">
        <v>2.79</v>
      </c>
      <c r="E47" s="41">
        <v>3.41</v>
      </c>
      <c r="F47" s="41">
        <v>4.46</v>
      </c>
      <c r="G47" s="41">
        <v>5.44</v>
      </c>
      <c r="H47" s="41">
        <v>6.33</v>
      </c>
      <c r="I47" s="41">
        <v>7.41</v>
      </c>
      <c r="J47" s="41">
        <v>8.8800000000000008</v>
      </c>
      <c r="K47" s="41">
        <v>10.63</v>
      </c>
      <c r="L47" s="41">
        <v>12.44</v>
      </c>
      <c r="M47" s="41">
        <v>14.29</v>
      </c>
      <c r="N47" s="41">
        <v>16.37</v>
      </c>
      <c r="O47" s="41">
        <v>18.989999999999998</v>
      </c>
      <c r="P47" s="41">
        <v>22.31</v>
      </c>
      <c r="Q47" s="41">
        <v>26.3</v>
      </c>
      <c r="R47" s="41">
        <v>30.83</v>
      </c>
      <c r="S47" s="41">
        <v>35.76</v>
      </c>
      <c r="T47" s="41">
        <v>41.57</v>
      </c>
      <c r="U47" s="41">
        <v>48.05</v>
      </c>
      <c r="V47" s="53">
        <v>55.63</v>
      </c>
      <c r="W47" s="41">
        <v>63.22</v>
      </c>
      <c r="X47" s="41">
        <v>72.040000000000006</v>
      </c>
      <c r="Y47" s="41">
        <v>82.26</v>
      </c>
      <c r="Z47" s="41">
        <v>93.99</v>
      </c>
      <c r="AA47" s="71">
        <v>107.25</v>
      </c>
    </row>
    <row r="48" spans="1:27">
      <c r="A48" s="55">
        <v>64</v>
      </c>
      <c r="B48" s="56">
        <v>1.72</v>
      </c>
      <c r="C48" s="57">
        <v>2.56</v>
      </c>
      <c r="D48" s="57">
        <v>3.1</v>
      </c>
      <c r="E48" s="57">
        <v>3.84</v>
      </c>
      <c r="F48" s="57">
        <v>4.97</v>
      </c>
      <c r="G48" s="57">
        <v>5.91</v>
      </c>
      <c r="H48" s="57">
        <v>6.87</v>
      </c>
      <c r="I48" s="57">
        <v>8.1300000000000008</v>
      </c>
      <c r="J48" s="57">
        <v>9.7899999999999991</v>
      </c>
      <c r="K48" s="57">
        <v>11.71</v>
      </c>
      <c r="L48" s="57">
        <v>13.57</v>
      </c>
      <c r="M48" s="57">
        <v>15.53</v>
      </c>
      <c r="N48" s="57">
        <v>17.940000000000001</v>
      </c>
      <c r="O48" s="57">
        <v>20.98</v>
      </c>
      <c r="P48" s="57">
        <v>24.75</v>
      </c>
      <c r="Q48" s="57">
        <v>29.39</v>
      </c>
      <c r="R48" s="57">
        <v>34.880000000000003</v>
      </c>
      <c r="S48" s="57">
        <v>41.11</v>
      </c>
      <c r="T48" s="57">
        <v>47.99</v>
      </c>
      <c r="U48" s="49">
        <v>55.63</v>
      </c>
      <c r="V48" s="57">
        <v>63.22</v>
      </c>
      <c r="W48" s="57">
        <v>72.040000000000006</v>
      </c>
      <c r="X48" s="57">
        <v>82.26</v>
      </c>
      <c r="Y48" s="57">
        <v>93.99</v>
      </c>
      <c r="Z48" s="72">
        <v>107.25</v>
      </c>
      <c r="AA48" s="70">
        <v>121.61</v>
      </c>
    </row>
    <row r="49" spans="1:27">
      <c r="A49" s="52">
        <v>65</v>
      </c>
      <c r="B49" s="53">
        <v>1.79</v>
      </c>
      <c r="C49" s="41">
        <v>2.89</v>
      </c>
      <c r="D49" s="41">
        <v>3.49</v>
      </c>
      <c r="E49" s="41">
        <v>4.34</v>
      </c>
      <c r="F49" s="41">
        <v>5.55</v>
      </c>
      <c r="G49" s="41">
        <v>6.45</v>
      </c>
      <c r="H49" s="41">
        <v>7.52</v>
      </c>
      <c r="I49" s="41">
        <v>8.9700000000000006</v>
      </c>
      <c r="J49" s="41">
        <v>10.83</v>
      </c>
      <c r="K49" s="41">
        <v>12.93</v>
      </c>
      <c r="L49" s="41">
        <v>14.91</v>
      </c>
      <c r="M49" s="41">
        <v>17.059999999999999</v>
      </c>
      <c r="N49" s="41">
        <v>19.84</v>
      </c>
      <c r="O49" s="41">
        <v>23.31</v>
      </c>
      <c r="P49" s="41">
        <v>27.54</v>
      </c>
      <c r="Q49" s="41">
        <v>32.9</v>
      </c>
      <c r="R49" s="41">
        <v>39.31</v>
      </c>
      <c r="S49" s="41">
        <v>46.32</v>
      </c>
      <c r="T49" s="41">
        <v>54.53</v>
      </c>
      <c r="U49" s="53">
        <v>63.22</v>
      </c>
      <c r="V49" s="41">
        <v>72.040000000000006</v>
      </c>
      <c r="W49" s="41">
        <v>82.26</v>
      </c>
      <c r="X49" s="41">
        <v>93.99</v>
      </c>
      <c r="Y49" s="42">
        <v>107.25</v>
      </c>
      <c r="Z49" s="42">
        <v>121.61</v>
      </c>
      <c r="AA49" s="71">
        <v>136.9</v>
      </c>
    </row>
    <row r="50" spans="1:27">
      <c r="A50" s="55">
        <v>66</v>
      </c>
      <c r="B50" s="56">
        <v>1.88</v>
      </c>
      <c r="C50" s="57">
        <v>3.21</v>
      </c>
      <c r="D50" s="57">
        <v>3.94</v>
      </c>
      <c r="E50" s="57">
        <v>4.9000000000000004</v>
      </c>
      <c r="F50" s="57">
        <v>6.22</v>
      </c>
      <c r="G50" s="57">
        <v>7.11</v>
      </c>
      <c r="H50" s="57">
        <v>8.31</v>
      </c>
      <c r="I50" s="57">
        <v>9.9600000000000009</v>
      </c>
      <c r="J50" s="57">
        <v>12.04</v>
      </c>
      <c r="K50" s="57">
        <v>14.38</v>
      </c>
      <c r="L50" s="57">
        <v>16.57</v>
      </c>
      <c r="M50" s="57">
        <v>18.940000000000001</v>
      </c>
      <c r="N50" s="57">
        <v>22.11</v>
      </c>
      <c r="O50" s="57">
        <v>26.04</v>
      </c>
      <c r="P50" s="57">
        <v>30.74</v>
      </c>
      <c r="Q50" s="57">
        <v>37.369999999999997</v>
      </c>
      <c r="R50" s="57">
        <v>45.63</v>
      </c>
      <c r="S50" s="57">
        <v>54.15</v>
      </c>
      <c r="T50" s="49">
        <v>63.22</v>
      </c>
      <c r="U50" s="57">
        <v>72.040000000000006</v>
      </c>
      <c r="V50" s="57">
        <v>82.26</v>
      </c>
      <c r="W50" s="57">
        <v>93.99</v>
      </c>
      <c r="X50" s="57">
        <v>107.25</v>
      </c>
      <c r="Y50" s="72">
        <v>121.61</v>
      </c>
      <c r="Z50" s="72">
        <v>136.9</v>
      </c>
      <c r="AA50" s="70">
        <v>152.6</v>
      </c>
    </row>
    <row r="51" spans="1:27">
      <c r="A51" s="52">
        <v>67</v>
      </c>
      <c r="B51" s="53">
        <v>1.99</v>
      </c>
      <c r="C51" s="41">
        <v>3.49</v>
      </c>
      <c r="D51" s="41">
        <v>4.4400000000000004</v>
      </c>
      <c r="E51" s="41">
        <v>5.54</v>
      </c>
      <c r="F51" s="41">
        <v>6.98</v>
      </c>
      <c r="G51" s="41">
        <v>7.89</v>
      </c>
      <c r="H51" s="41">
        <v>9.24</v>
      </c>
      <c r="I51" s="41">
        <v>11.09</v>
      </c>
      <c r="J51" s="41">
        <v>13.45</v>
      </c>
      <c r="K51" s="41">
        <v>16.149999999999999</v>
      </c>
      <c r="L51" s="41">
        <v>18.72</v>
      </c>
      <c r="M51" s="41">
        <v>21.49</v>
      </c>
      <c r="N51" s="41">
        <v>25.13</v>
      </c>
      <c r="O51" s="41">
        <v>29.58</v>
      </c>
      <c r="P51" s="41">
        <v>34.85</v>
      </c>
      <c r="Q51" s="41">
        <v>42.31</v>
      </c>
      <c r="R51" s="41">
        <v>51.98</v>
      </c>
      <c r="S51" s="41">
        <v>61.62</v>
      </c>
      <c r="T51" s="53">
        <v>72.040000000000006</v>
      </c>
      <c r="U51" s="41">
        <v>82.26</v>
      </c>
      <c r="V51" s="41">
        <v>93.99</v>
      </c>
      <c r="W51" s="41">
        <v>107.25</v>
      </c>
      <c r="X51" s="42">
        <v>121.61</v>
      </c>
      <c r="Y51" s="42">
        <v>136.9</v>
      </c>
      <c r="Z51" s="42">
        <v>152.6</v>
      </c>
      <c r="AA51" s="71">
        <v>168.28</v>
      </c>
    </row>
    <row r="52" spans="1:27">
      <c r="A52" s="55">
        <v>68</v>
      </c>
      <c r="B52" s="56">
        <v>2.14</v>
      </c>
      <c r="C52" s="57">
        <v>3.77</v>
      </c>
      <c r="D52" s="57">
        <v>4.9800000000000004</v>
      </c>
      <c r="E52" s="57">
        <v>6.26</v>
      </c>
      <c r="F52" s="57">
        <v>7.61</v>
      </c>
      <c r="G52" s="57">
        <v>8.81</v>
      </c>
      <c r="H52" s="57">
        <v>10.31</v>
      </c>
      <c r="I52" s="57">
        <v>12.42</v>
      </c>
      <c r="J52" s="57">
        <v>15.16</v>
      </c>
      <c r="K52" s="57">
        <v>18.350000000000001</v>
      </c>
      <c r="L52" s="57">
        <v>21.4</v>
      </c>
      <c r="M52" s="57">
        <v>24.97</v>
      </c>
      <c r="N52" s="57">
        <v>28.83</v>
      </c>
      <c r="O52" s="57">
        <v>33.86</v>
      </c>
      <c r="P52" s="57">
        <v>39.72</v>
      </c>
      <c r="Q52" s="57">
        <v>48.47</v>
      </c>
      <c r="R52" s="57">
        <v>59.59</v>
      </c>
      <c r="S52" s="57">
        <v>70.540000000000006</v>
      </c>
      <c r="T52" s="56">
        <v>82.26</v>
      </c>
      <c r="U52" s="57">
        <v>93.99</v>
      </c>
      <c r="V52" s="57">
        <v>107.25</v>
      </c>
      <c r="W52" s="72">
        <v>121.61</v>
      </c>
      <c r="X52" s="72">
        <v>136.9</v>
      </c>
      <c r="Y52" s="72">
        <v>152.6</v>
      </c>
      <c r="Z52" s="72">
        <v>168.28</v>
      </c>
      <c r="AA52" s="70">
        <v>183.74</v>
      </c>
    </row>
    <row r="53" spans="1:27">
      <c r="A53" s="52">
        <v>69</v>
      </c>
      <c r="B53" s="53">
        <v>2.33</v>
      </c>
      <c r="C53" s="41">
        <v>4.07</v>
      </c>
      <c r="D53" s="41">
        <v>5.57</v>
      </c>
      <c r="E53" s="41">
        <v>7.07</v>
      </c>
      <c r="F53" s="41">
        <v>8.5299999999999994</v>
      </c>
      <c r="G53" s="41">
        <v>9.83</v>
      </c>
      <c r="H53" s="41">
        <v>11.52</v>
      </c>
      <c r="I53" s="41">
        <v>13.95</v>
      </c>
      <c r="J53" s="41">
        <v>17.5</v>
      </c>
      <c r="K53" s="41">
        <v>21.02</v>
      </c>
      <c r="L53" s="41">
        <v>24.81</v>
      </c>
      <c r="M53" s="41">
        <v>28.81</v>
      </c>
      <c r="N53" s="41">
        <v>33.549999999999997</v>
      </c>
      <c r="O53" s="41">
        <v>39.6</v>
      </c>
      <c r="P53" s="41">
        <v>46.33</v>
      </c>
      <c r="Q53" s="41">
        <v>56.16</v>
      </c>
      <c r="R53" s="41">
        <v>68.3</v>
      </c>
      <c r="S53" s="41">
        <v>80.66</v>
      </c>
      <c r="T53" s="53">
        <v>93.99</v>
      </c>
      <c r="U53" s="41">
        <v>107.25</v>
      </c>
      <c r="V53" s="42">
        <v>121.61</v>
      </c>
      <c r="W53" s="42">
        <v>136.9</v>
      </c>
      <c r="X53" s="42">
        <v>152.6</v>
      </c>
      <c r="Y53" s="42">
        <v>168.28</v>
      </c>
      <c r="Z53" s="42">
        <v>183.74</v>
      </c>
      <c r="AA53" s="71">
        <v>198.22</v>
      </c>
    </row>
    <row r="54" spans="1:27">
      <c r="A54" s="55">
        <v>70</v>
      </c>
      <c r="B54" s="56">
        <v>2.5</v>
      </c>
      <c r="C54" s="57">
        <v>4.3099999999999996</v>
      </c>
      <c r="D54" s="57">
        <v>6.12</v>
      </c>
      <c r="E54" s="57">
        <v>7.84</v>
      </c>
      <c r="F54" s="57">
        <v>9.34</v>
      </c>
      <c r="G54" s="57">
        <v>10.73</v>
      </c>
      <c r="H54" s="57">
        <v>12.72</v>
      </c>
      <c r="I54" s="57">
        <v>16.13</v>
      </c>
      <c r="J54" s="57">
        <v>19.61</v>
      </c>
      <c r="K54" s="57">
        <v>23.76</v>
      </c>
      <c r="L54" s="57">
        <v>28.66</v>
      </c>
      <c r="M54" s="57">
        <v>33.24</v>
      </c>
      <c r="N54" s="57">
        <v>39.47</v>
      </c>
      <c r="O54" s="57">
        <v>46.26</v>
      </c>
      <c r="P54" s="57">
        <v>55.57</v>
      </c>
      <c r="Q54" s="57">
        <v>66</v>
      </c>
      <c r="R54" s="57">
        <v>80.25</v>
      </c>
      <c r="S54" s="73">
        <v>93.99</v>
      </c>
      <c r="T54" s="72">
        <v>107.25</v>
      </c>
      <c r="U54" s="72">
        <v>121.61</v>
      </c>
      <c r="V54" s="72">
        <v>136.9</v>
      </c>
      <c r="W54" s="72">
        <v>152.6</v>
      </c>
      <c r="X54" s="72">
        <v>168.28</v>
      </c>
      <c r="Y54" s="72">
        <v>183.74</v>
      </c>
      <c r="Z54" s="72">
        <v>198.22</v>
      </c>
      <c r="AA54" s="70">
        <v>211.08</v>
      </c>
    </row>
    <row r="55" spans="1:27">
      <c r="A55" s="52">
        <v>71</v>
      </c>
      <c r="B55" s="53">
        <v>2.68</v>
      </c>
      <c r="C55" s="41">
        <v>4.51</v>
      </c>
      <c r="D55" s="41">
        <v>6.64</v>
      </c>
      <c r="E55" s="41">
        <v>8.59</v>
      </c>
      <c r="F55" s="41">
        <v>10.050000000000001</v>
      </c>
      <c r="G55" s="41">
        <v>11.75</v>
      </c>
      <c r="H55" s="41">
        <v>14.5</v>
      </c>
      <c r="I55" s="41">
        <v>18.04</v>
      </c>
      <c r="J55" s="41">
        <v>21.89</v>
      </c>
      <c r="K55" s="41">
        <v>26.71</v>
      </c>
      <c r="L55" s="41">
        <v>32.92</v>
      </c>
      <c r="M55" s="41">
        <v>39.47</v>
      </c>
      <c r="N55" s="41">
        <v>46.01</v>
      </c>
      <c r="O55" s="41">
        <v>54.99</v>
      </c>
      <c r="P55" s="41">
        <v>62.96</v>
      </c>
      <c r="Q55" s="41">
        <v>76.069999999999993</v>
      </c>
      <c r="R55" s="41">
        <v>91.82</v>
      </c>
      <c r="S55" s="74">
        <v>107.25</v>
      </c>
      <c r="T55" s="42">
        <v>121.61</v>
      </c>
      <c r="U55" s="42">
        <v>136.9</v>
      </c>
      <c r="V55" s="42">
        <v>152.6</v>
      </c>
      <c r="W55" s="42">
        <v>168.28</v>
      </c>
      <c r="X55" s="42">
        <v>183.74</v>
      </c>
      <c r="Y55" s="42">
        <v>198.22</v>
      </c>
      <c r="Z55" s="42">
        <v>211.08</v>
      </c>
      <c r="AA55" s="71">
        <v>227.79</v>
      </c>
    </row>
    <row r="56" spans="1:27">
      <c r="A56" s="55">
        <v>72</v>
      </c>
      <c r="B56" s="56">
        <v>2.88</v>
      </c>
      <c r="C56" s="57">
        <v>4.74</v>
      </c>
      <c r="D56" s="57">
        <v>7.21</v>
      </c>
      <c r="E56" s="57">
        <v>9.4</v>
      </c>
      <c r="F56" s="57">
        <v>10.96</v>
      </c>
      <c r="G56" s="57">
        <v>13.38</v>
      </c>
      <c r="H56" s="57">
        <v>16.329999999999998</v>
      </c>
      <c r="I56" s="57">
        <v>20.07</v>
      </c>
      <c r="J56" s="57">
        <v>24.82</v>
      </c>
      <c r="K56" s="57">
        <v>31.1</v>
      </c>
      <c r="L56" s="57">
        <v>38.82</v>
      </c>
      <c r="M56" s="57">
        <v>45.77</v>
      </c>
      <c r="N56" s="57">
        <v>54.4</v>
      </c>
      <c r="O56" s="57">
        <v>62.74</v>
      </c>
      <c r="P56" s="57">
        <v>72.209999999999994</v>
      </c>
      <c r="Q56" s="57">
        <v>87.29</v>
      </c>
      <c r="R56" s="57">
        <v>105.03</v>
      </c>
      <c r="S56" s="75">
        <v>121.61</v>
      </c>
      <c r="T56" s="72">
        <v>136.9</v>
      </c>
      <c r="U56" s="72">
        <v>152.6</v>
      </c>
      <c r="V56" s="72">
        <v>168.28</v>
      </c>
      <c r="W56" s="72">
        <v>183.74</v>
      </c>
      <c r="X56" s="72">
        <v>198.22</v>
      </c>
      <c r="Y56" s="72">
        <v>211.08</v>
      </c>
      <c r="Z56" s="72">
        <v>227.79</v>
      </c>
      <c r="AA56" s="70">
        <v>245.59</v>
      </c>
    </row>
    <row r="57" spans="1:27">
      <c r="A57" s="52">
        <v>73</v>
      </c>
      <c r="B57" s="53">
        <v>3.13</v>
      </c>
      <c r="C57" s="41">
        <v>5.0599999999999996</v>
      </c>
      <c r="D57" s="41">
        <v>7.9</v>
      </c>
      <c r="E57" s="41">
        <v>10.39</v>
      </c>
      <c r="F57" s="41">
        <v>12.56</v>
      </c>
      <c r="G57" s="41">
        <v>15.19</v>
      </c>
      <c r="H57" s="41">
        <v>18.489999999999998</v>
      </c>
      <c r="I57" s="41">
        <v>22.67</v>
      </c>
      <c r="J57" s="41">
        <v>28.79</v>
      </c>
      <c r="K57" s="41">
        <v>36.159999999999997</v>
      </c>
      <c r="L57" s="41">
        <v>45.52</v>
      </c>
      <c r="M57" s="41">
        <v>54.32</v>
      </c>
      <c r="N57" s="41">
        <v>62.68</v>
      </c>
      <c r="O57" s="41">
        <v>72.12</v>
      </c>
      <c r="P57" s="41">
        <v>86.69</v>
      </c>
      <c r="Q57" s="41">
        <v>104.62</v>
      </c>
      <c r="R57" s="76">
        <v>121.61</v>
      </c>
      <c r="S57" s="42">
        <v>136.9</v>
      </c>
      <c r="T57" s="42">
        <v>152.6</v>
      </c>
      <c r="U57" s="42">
        <v>168.28</v>
      </c>
      <c r="V57" s="42">
        <v>183.74</v>
      </c>
      <c r="W57" s="42">
        <v>198.22</v>
      </c>
      <c r="X57" s="42">
        <v>211.08</v>
      </c>
      <c r="Y57" s="42">
        <v>227.79</v>
      </c>
      <c r="Z57" s="42">
        <v>245.59</v>
      </c>
      <c r="AA57" s="71">
        <v>264.95</v>
      </c>
    </row>
    <row r="58" spans="1:27">
      <c r="A58" s="55">
        <v>74</v>
      </c>
      <c r="B58" s="56">
        <v>3.48</v>
      </c>
      <c r="C58" s="57">
        <v>5.57</v>
      </c>
      <c r="D58" s="57">
        <v>8.84</v>
      </c>
      <c r="E58" s="57">
        <v>11.74</v>
      </c>
      <c r="F58" s="57">
        <v>14.23</v>
      </c>
      <c r="G58" s="57">
        <v>17.350000000000001</v>
      </c>
      <c r="H58" s="57">
        <v>21.33</v>
      </c>
      <c r="I58" s="57">
        <v>26.27</v>
      </c>
      <c r="J58" s="57">
        <v>33.44</v>
      </c>
      <c r="K58" s="57">
        <v>42.33</v>
      </c>
      <c r="L58" s="57">
        <v>54.06</v>
      </c>
      <c r="M58" s="57">
        <v>62.62</v>
      </c>
      <c r="N58" s="57">
        <v>72.03</v>
      </c>
      <c r="O58" s="57">
        <v>84.33</v>
      </c>
      <c r="P58" s="57">
        <v>100.77</v>
      </c>
      <c r="Q58" s="57">
        <v>120.09</v>
      </c>
      <c r="R58" s="75">
        <v>136.9</v>
      </c>
      <c r="S58" s="72">
        <v>152.6</v>
      </c>
      <c r="T58" s="72">
        <v>168.28</v>
      </c>
      <c r="U58" s="72">
        <v>183.74</v>
      </c>
      <c r="V58" s="72">
        <v>198.22</v>
      </c>
      <c r="W58" s="72">
        <v>211.08</v>
      </c>
      <c r="X58" s="72">
        <v>227.79</v>
      </c>
      <c r="Y58" s="72">
        <v>245.59</v>
      </c>
      <c r="Z58" s="72">
        <v>264.95</v>
      </c>
      <c r="AA58" s="70">
        <v>285.45999999999998</v>
      </c>
    </row>
    <row r="59" spans="1:27">
      <c r="A59" s="52">
        <v>75</v>
      </c>
      <c r="B59" s="53">
        <v>3.82</v>
      </c>
      <c r="C59" s="41">
        <v>6.16</v>
      </c>
      <c r="D59" s="41">
        <v>9.91</v>
      </c>
      <c r="E59" s="41">
        <v>13.27</v>
      </c>
      <c r="F59" s="41">
        <v>16.22</v>
      </c>
      <c r="G59" s="41">
        <v>19.989999999999998</v>
      </c>
      <c r="H59" s="41">
        <v>24.68</v>
      </c>
      <c r="I59" s="41">
        <v>30.47</v>
      </c>
      <c r="J59" s="41">
        <v>39.1</v>
      </c>
      <c r="K59" s="41">
        <v>49.29</v>
      </c>
      <c r="L59" s="41">
        <v>62.56</v>
      </c>
      <c r="M59" s="41">
        <v>71.94</v>
      </c>
      <c r="N59" s="41">
        <v>83.46</v>
      </c>
      <c r="O59" s="41">
        <v>99.64</v>
      </c>
      <c r="P59" s="41">
        <v>117.67</v>
      </c>
      <c r="Q59" s="76">
        <v>136.9</v>
      </c>
      <c r="R59" s="42">
        <v>152.6</v>
      </c>
      <c r="S59" s="42">
        <v>168.28</v>
      </c>
      <c r="T59" s="42">
        <v>183.74</v>
      </c>
      <c r="U59" s="42">
        <v>198.22</v>
      </c>
      <c r="V59" s="42">
        <v>211.08</v>
      </c>
      <c r="W59" s="42">
        <v>227.79</v>
      </c>
      <c r="X59" s="42">
        <v>245.59</v>
      </c>
      <c r="Y59" s="42">
        <v>264.95</v>
      </c>
      <c r="Z59" s="42">
        <v>285.45999999999998</v>
      </c>
      <c r="AA59" s="44">
        <v>306.7</v>
      </c>
    </row>
    <row r="60" spans="1:27">
      <c r="A60" s="55">
        <v>76</v>
      </c>
      <c r="B60" s="56">
        <v>4.16</v>
      </c>
      <c r="C60" s="57">
        <v>6.7</v>
      </c>
      <c r="D60" s="57">
        <v>10.98</v>
      </c>
      <c r="E60" s="57">
        <v>15.08</v>
      </c>
      <c r="F60" s="57">
        <v>18.649999999999999</v>
      </c>
      <c r="G60" s="57">
        <v>23.09</v>
      </c>
      <c r="H60" s="57">
        <v>28.57</v>
      </c>
      <c r="I60" s="57">
        <v>35.58</v>
      </c>
      <c r="J60" s="57">
        <v>45.51</v>
      </c>
      <c r="K60" s="57">
        <v>56.93</v>
      </c>
      <c r="L60" s="57">
        <v>71.41</v>
      </c>
      <c r="M60" s="57">
        <v>82.74</v>
      </c>
      <c r="N60" s="57">
        <v>99.04</v>
      </c>
      <c r="O60" s="57">
        <v>116.96</v>
      </c>
      <c r="P60" s="49">
        <v>136.9</v>
      </c>
      <c r="Q60" s="72">
        <v>152.6</v>
      </c>
      <c r="R60" s="72">
        <v>168.28</v>
      </c>
      <c r="S60" s="72">
        <v>183.74</v>
      </c>
      <c r="T60" s="72">
        <v>198.22</v>
      </c>
      <c r="U60" s="72">
        <v>211.08</v>
      </c>
      <c r="V60" s="72">
        <v>227.79</v>
      </c>
      <c r="W60" s="72">
        <v>245.59</v>
      </c>
      <c r="X60" s="72">
        <v>264.95</v>
      </c>
      <c r="Y60" s="72">
        <v>285.45999999999998</v>
      </c>
      <c r="Z60" s="57">
        <v>306.7</v>
      </c>
      <c r="AA60" s="69">
        <v>328.25</v>
      </c>
    </row>
    <row r="61" spans="1:27">
      <c r="A61" s="52">
        <v>77</v>
      </c>
      <c r="B61" s="53">
        <v>4.32</v>
      </c>
      <c r="C61" s="41">
        <v>6.96</v>
      </c>
      <c r="D61" s="41">
        <v>11.54</v>
      </c>
      <c r="E61" s="41">
        <v>16.21</v>
      </c>
      <c r="F61" s="41">
        <v>20.54</v>
      </c>
      <c r="G61" s="41">
        <v>25.49</v>
      </c>
      <c r="H61" s="41">
        <v>31.84</v>
      </c>
      <c r="I61" s="41">
        <v>41.39</v>
      </c>
      <c r="J61" s="41">
        <v>52.59</v>
      </c>
      <c r="K61" s="41">
        <v>64.94</v>
      </c>
      <c r="L61" s="41">
        <v>81.89</v>
      </c>
      <c r="M61" s="41">
        <v>97.9</v>
      </c>
      <c r="N61" s="41">
        <v>116.51</v>
      </c>
      <c r="O61" s="60">
        <v>136.9</v>
      </c>
      <c r="P61" s="41">
        <v>152.6</v>
      </c>
      <c r="Q61" s="42">
        <v>168.28</v>
      </c>
      <c r="R61" s="42">
        <v>183.74</v>
      </c>
      <c r="S61" s="42">
        <v>198.22</v>
      </c>
      <c r="T61" s="42">
        <v>211.08</v>
      </c>
      <c r="U61" s="42">
        <v>227.79</v>
      </c>
      <c r="V61" s="42">
        <v>245.59</v>
      </c>
      <c r="W61" s="42">
        <v>264.95</v>
      </c>
      <c r="X61" s="42">
        <v>285.45999999999998</v>
      </c>
      <c r="Y61" s="41">
        <v>306.7</v>
      </c>
      <c r="Z61" s="41">
        <v>328.25</v>
      </c>
      <c r="AA61" s="44">
        <v>350.02</v>
      </c>
    </row>
    <row r="62" spans="1:27">
      <c r="A62" s="55">
        <v>78</v>
      </c>
      <c r="B62" s="56">
        <v>4.53</v>
      </c>
      <c r="C62" s="57">
        <v>7.31</v>
      </c>
      <c r="D62" s="57">
        <v>12.29</v>
      </c>
      <c r="E62" s="57">
        <v>17.62</v>
      </c>
      <c r="F62" s="57">
        <v>22.4</v>
      </c>
      <c r="G62" s="57">
        <v>28.65</v>
      </c>
      <c r="H62" s="57">
        <v>35.729999999999997</v>
      </c>
      <c r="I62" s="57">
        <v>47.86</v>
      </c>
      <c r="J62" s="57">
        <v>60.1</v>
      </c>
      <c r="K62" s="57">
        <v>74</v>
      </c>
      <c r="L62" s="57">
        <v>95.8</v>
      </c>
      <c r="M62" s="57">
        <v>114.79</v>
      </c>
      <c r="N62" s="57">
        <v>135.61000000000001</v>
      </c>
      <c r="O62" s="56">
        <v>152.6</v>
      </c>
      <c r="P62" s="57">
        <v>168.28</v>
      </c>
      <c r="Q62" s="72">
        <v>183.74</v>
      </c>
      <c r="R62" s="72">
        <v>198.22</v>
      </c>
      <c r="S62" s="72">
        <v>211.08</v>
      </c>
      <c r="T62" s="72">
        <v>227.79</v>
      </c>
      <c r="U62" s="72">
        <v>245.59</v>
      </c>
      <c r="V62" s="72">
        <v>264.95</v>
      </c>
      <c r="W62" s="72">
        <v>285.45999999999998</v>
      </c>
      <c r="X62" s="57">
        <v>306.7</v>
      </c>
      <c r="Y62" s="57">
        <v>328.25</v>
      </c>
      <c r="Z62" s="57">
        <v>350.02</v>
      </c>
      <c r="AA62" s="69">
        <v>371.65</v>
      </c>
    </row>
    <row r="63" spans="1:27">
      <c r="A63" s="52">
        <v>79</v>
      </c>
      <c r="B63" s="53">
        <v>4.7</v>
      </c>
      <c r="C63" s="41">
        <v>7.62</v>
      </c>
      <c r="D63" s="41">
        <v>13.05</v>
      </c>
      <c r="E63" s="41">
        <v>18.96</v>
      </c>
      <c r="F63" s="41">
        <v>24.49</v>
      </c>
      <c r="G63" s="41">
        <v>31.33</v>
      </c>
      <c r="H63" s="41">
        <v>39.9</v>
      </c>
      <c r="I63" s="41">
        <v>52.9</v>
      </c>
      <c r="J63" s="41">
        <v>66.599999999999994</v>
      </c>
      <c r="K63" s="41">
        <v>84.26</v>
      </c>
      <c r="L63" s="41">
        <v>109.98</v>
      </c>
      <c r="M63" s="41">
        <v>132.16999999999999</v>
      </c>
      <c r="N63" s="60">
        <v>152.6</v>
      </c>
      <c r="O63" s="41">
        <v>168.28</v>
      </c>
      <c r="P63" s="41">
        <v>183.74</v>
      </c>
      <c r="Q63" s="42">
        <v>198.22</v>
      </c>
      <c r="R63" s="42">
        <v>211.08</v>
      </c>
      <c r="S63" s="42">
        <v>227.79</v>
      </c>
      <c r="T63" s="42">
        <v>245.59</v>
      </c>
      <c r="U63" s="42">
        <v>264.95</v>
      </c>
      <c r="V63" s="42">
        <v>285.45999999999998</v>
      </c>
      <c r="W63" s="41">
        <v>306.7</v>
      </c>
      <c r="X63" s="41">
        <v>328.25</v>
      </c>
      <c r="Y63" s="41">
        <v>350.02</v>
      </c>
      <c r="Z63" s="41">
        <v>371.65</v>
      </c>
      <c r="AA63" s="44">
        <v>392.79</v>
      </c>
    </row>
    <row r="64" spans="1:27">
      <c r="A64" s="55">
        <v>80</v>
      </c>
      <c r="B64" s="56">
        <v>4.87</v>
      </c>
      <c r="C64" s="57">
        <v>7.97</v>
      </c>
      <c r="D64" s="57">
        <v>13.86</v>
      </c>
      <c r="E64" s="57">
        <v>20.54</v>
      </c>
      <c r="F64" s="57">
        <v>26.58</v>
      </c>
      <c r="G64" s="57">
        <v>33.909999999999997</v>
      </c>
      <c r="H64" s="57">
        <v>44.14</v>
      </c>
      <c r="I64" s="57">
        <v>57.83</v>
      </c>
      <c r="J64" s="57">
        <v>73.819999999999993</v>
      </c>
      <c r="K64" s="57">
        <v>95.86</v>
      </c>
      <c r="L64" s="57">
        <v>127.11</v>
      </c>
      <c r="M64" s="73">
        <v>152.6</v>
      </c>
      <c r="N64" s="72">
        <v>168.28</v>
      </c>
      <c r="O64" s="72">
        <v>183.74</v>
      </c>
      <c r="P64" s="72">
        <v>198.22</v>
      </c>
      <c r="Q64" s="72">
        <v>211.08</v>
      </c>
      <c r="R64" s="72">
        <v>227.79</v>
      </c>
      <c r="S64" s="72">
        <v>245.59</v>
      </c>
      <c r="T64" s="72">
        <v>264.95</v>
      </c>
      <c r="U64" s="72">
        <v>285.45999999999998</v>
      </c>
      <c r="V64" s="57">
        <v>306.7</v>
      </c>
      <c r="W64" s="57">
        <v>328.25</v>
      </c>
      <c r="X64" s="57">
        <v>350.02</v>
      </c>
      <c r="Y64" s="57">
        <v>371.65</v>
      </c>
      <c r="Z64" s="57">
        <v>392.79</v>
      </c>
      <c r="AA64" s="69">
        <v>413.05</v>
      </c>
    </row>
    <row r="65" spans="1:27">
      <c r="A65" s="52">
        <v>81</v>
      </c>
      <c r="B65" s="53">
        <v>5.28</v>
      </c>
      <c r="C65" s="41">
        <v>8.7200000000000006</v>
      </c>
      <c r="D65" s="41">
        <v>15.59</v>
      </c>
      <c r="E65" s="41">
        <v>23.29</v>
      </c>
      <c r="F65" s="41">
        <v>30.13</v>
      </c>
      <c r="G65" s="41">
        <v>38.630000000000003</v>
      </c>
      <c r="H65" s="41">
        <v>50.93</v>
      </c>
      <c r="I65" s="41">
        <v>65.81</v>
      </c>
      <c r="J65" s="41">
        <v>86.76</v>
      </c>
      <c r="K65" s="41">
        <v>113.39</v>
      </c>
      <c r="L65" s="41">
        <v>144.84</v>
      </c>
      <c r="M65" s="74">
        <v>168.28</v>
      </c>
      <c r="N65" s="42">
        <v>183.74</v>
      </c>
      <c r="O65" s="42">
        <v>198.22</v>
      </c>
      <c r="P65" s="42">
        <v>211.08</v>
      </c>
      <c r="Q65" s="42">
        <v>227.79</v>
      </c>
      <c r="R65" s="42">
        <v>245.59</v>
      </c>
      <c r="S65" s="42">
        <v>264.95</v>
      </c>
      <c r="T65" s="42">
        <v>285.45999999999998</v>
      </c>
      <c r="U65" s="41">
        <v>306.7</v>
      </c>
      <c r="V65" s="41">
        <v>328.25</v>
      </c>
      <c r="W65" s="41">
        <v>350.02</v>
      </c>
      <c r="X65" s="41">
        <v>371.65</v>
      </c>
      <c r="Y65" s="41">
        <v>392.79</v>
      </c>
      <c r="Z65" s="41">
        <v>413.05</v>
      </c>
      <c r="AA65" s="44">
        <v>432.08</v>
      </c>
    </row>
    <row r="66" spans="1:27">
      <c r="A66" s="55">
        <v>82</v>
      </c>
      <c r="B66" s="56">
        <v>5.81</v>
      </c>
      <c r="C66" s="57">
        <v>9.7100000000000009</v>
      </c>
      <c r="D66" s="57">
        <v>17.78</v>
      </c>
      <c r="E66" s="57">
        <v>26.79</v>
      </c>
      <c r="F66" s="57">
        <v>34.78</v>
      </c>
      <c r="G66" s="57">
        <v>44.28</v>
      </c>
      <c r="H66" s="57">
        <v>59.39</v>
      </c>
      <c r="I66" s="57">
        <v>79.209999999999994</v>
      </c>
      <c r="J66" s="57">
        <v>103.71</v>
      </c>
      <c r="K66" s="57">
        <v>138.82</v>
      </c>
      <c r="L66" s="73">
        <v>168.28</v>
      </c>
      <c r="M66" s="72">
        <v>183.74</v>
      </c>
      <c r="N66" s="72">
        <v>198.22</v>
      </c>
      <c r="O66" s="72">
        <v>211.08</v>
      </c>
      <c r="P66" s="72">
        <v>227.79</v>
      </c>
      <c r="Q66" s="72">
        <v>245.59</v>
      </c>
      <c r="R66" s="72">
        <v>264.95</v>
      </c>
      <c r="S66" s="72">
        <v>285.45999999999998</v>
      </c>
      <c r="T66" s="57">
        <v>306.7</v>
      </c>
      <c r="U66" s="57">
        <v>328.25</v>
      </c>
      <c r="V66" s="57">
        <v>350.02</v>
      </c>
      <c r="W66" s="57">
        <v>371.65</v>
      </c>
      <c r="X66" s="57">
        <v>392.79</v>
      </c>
      <c r="Y66" s="57">
        <v>413.05</v>
      </c>
      <c r="Z66" s="57">
        <v>432.08</v>
      </c>
      <c r="AA66" s="69">
        <v>449.51</v>
      </c>
    </row>
    <row r="67" spans="1:27">
      <c r="A67" s="52">
        <v>83</v>
      </c>
      <c r="B67" s="53">
        <v>6.68</v>
      </c>
      <c r="C67" s="41">
        <v>11.3</v>
      </c>
      <c r="D67" s="41">
        <v>21.17</v>
      </c>
      <c r="E67" s="41">
        <v>31.9</v>
      </c>
      <c r="F67" s="41">
        <v>41.78</v>
      </c>
      <c r="G67" s="41">
        <v>53.53</v>
      </c>
      <c r="H67" s="41">
        <v>72.39</v>
      </c>
      <c r="I67" s="41">
        <v>98.07</v>
      </c>
      <c r="J67" s="41">
        <v>131.91999999999999</v>
      </c>
      <c r="K67" s="76">
        <v>168.28</v>
      </c>
      <c r="L67" s="42">
        <v>183.74</v>
      </c>
      <c r="M67" s="42">
        <v>198.22</v>
      </c>
      <c r="N67" s="42">
        <v>211.08</v>
      </c>
      <c r="O67" s="42">
        <v>227.79</v>
      </c>
      <c r="P67" s="42">
        <v>245.59</v>
      </c>
      <c r="Q67" s="42">
        <v>264.95</v>
      </c>
      <c r="R67" s="42">
        <v>285.45999999999998</v>
      </c>
      <c r="S67" s="41">
        <v>306.7</v>
      </c>
      <c r="T67" s="41">
        <v>328.25</v>
      </c>
      <c r="U67" s="41">
        <v>350.02</v>
      </c>
      <c r="V67" s="41">
        <v>371.65</v>
      </c>
      <c r="W67" s="41">
        <v>392.79</v>
      </c>
      <c r="X67" s="41">
        <v>413.05</v>
      </c>
      <c r="Y67" s="41">
        <v>432.08</v>
      </c>
      <c r="Z67" s="41">
        <v>449.51</v>
      </c>
      <c r="AA67" s="44">
        <v>464.98</v>
      </c>
    </row>
    <row r="68" spans="1:27">
      <c r="A68" s="55">
        <v>84</v>
      </c>
      <c r="B68" s="56">
        <v>7.86</v>
      </c>
      <c r="C68" s="57">
        <v>13.71</v>
      </c>
      <c r="D68" s="57">
        <v>26.52</v>
      </c>
      <c r="E68" s="57">
        <v>40.24</v>
      </c>
      <c r="F68" s="57">
        <v>52.82</v>
      </c>
      <c r="G68" s="57">
        <v>68.98</v>
      </c>
      <c r="H68" s="57">
        <v>92.98</v>
      </c>
      <c r="I68" s="57">
        <v>129.72</v>
      </c>
      <c r="J68" s="73">
        <v>168.28</v>
      </c>
      <c r="K68" s="72">
        <v>183.74</v>
      </c>
      <c r="L68" s="72">
        <v>198.22</v>
      </c>
      <c r="M68" s="72">
        <v>211.08</v>
      </c>
      <c r="N68" s="72">
        <v>227.79</v>
      </c>
      <c r="O68" s="72">
        <v>245.59</v>
      </c>
      <c r="P68" s="72">
        <v>264.95</v>
      </c>
      <c r="Q68" s="72">
        <v>285.45999999999998</v>
      </c>
      <c r="R68" s="72">
        <v>306.7</v>
      </c>
      <c r="S68" s="57">
        <v>328.25</v>
      </c>
      <c r="T68" s="57">
        <v>350.02</v>
      </c>
      <c r="U68" s="57">
        <v>371.65</v>
      </c>
      <c r="V68" s="57">
        <v>392.79</v>
      </c>
      <c r="W68" s="57">
        <v>413.05</v>
      </c>
      <c r="X68" s="57">
        <v>432.08</v>
      </c>
      <c r="Y68" s="57">
        <v>449.51</v>
      </c>
      <c r="Z68" s="57">
        <v>464.98</v>
      </c>
      <c r="AA68" s="69">
        <v>478.12</v>
      </c>
    </row>
    <row r="69" spans="1:27">
      <c r="A69" s="52">
        <v>85</v>
      </c>
      <c r="B69" s="53">
        <v>9.2899999999999991</v>
      </c>
      <c r="C69" s="41">
        <v>16.54</v>
      </c>
      <c r="D69" s="41">
        <v>32.64</v>
      </c>
      <c r="E69" s="41">
        <v>49.6</v>
      </c>
      <c r="F69" s="41">
        <v>66.239999999999995</v>
      </c>
      <c r="G69" s="41">
        <v>87.96</v>
      </c>
      <c r="H69" s="41">
        <v>119.9</v>
      </c>
      <c r="I69" s="41">
        <v>153.78</v>
      </c>
      <c r="J69" s="74">
        <v>183.74</v>
      </c>
      <c r="K69" s="42">
        <v>198.22</v>
      </c>
      <c r="L69" s="42">
        <v>211.08</v>
      </c>
      <c r="M69" s="42">
        <v>227.79</v>
      </c>
      <c r="N69" s="42">
        <v>245.59</v>
      </c>
      <c r="O69" s="42">
        <v>264.95</v>
      </c>
      <c r="P69" s="42">
        <v>285.45999999999998</v>
      </c>
      <c r="Q69" s="42">
        <v>306.7</v>
      </c>
      <c r="R69" s="42">
        <v>328.25</v>
      </c>
      <c r="S69" s="41">
        <v>350.02</v>
      </c>
      <c r="T69" s="41">
        <v>371.65</v>
      </c>
      <c r="U69" s="41">
        <v>392.79</v>
      </c>
      <c r="V69" s="41">
        <v>413.05</v>
      </c>
      <c r="W69" s="41">
        <v>432.08</v>
      </c>
      <c r="X69" s="41">
        <v>449.51</v>
      </c>
      <c r="Y69" s="41">
        <v>464.98</v>
      </c>
      <c r="Z69" s="41">
        <v>478.12</v>
      </c>
      <c r="AA69" s="44">
        <v>488.57</v>
      </c>
    </row>
    <row r="70" spans="1:27">
      <c r="A70" s="55">
        <v>86</v>
      </c>
      <c r="B70" s="56">
        <v>11.21</v>
      </c>
      <c r="C70" s="57">
        <v>20.34</v>
      </c>
      <c r="D70" s="57">
        <v>41.06</v>
      </c>
      <c r="E70" s="57">
        <v>63.08</v>
      </c>
      <c r="F70" s="57">
        <v>85.73</v>
      </c>
      <c r="G70" s="57">
        <v>115.25</v>
      </c>
      <c r="H70" s="57">
        <v>149.84</v>
      </c>
      <c r="I70" s="73">
        <v>183.74</v>
      </c>
      <c r="J70" s="72">
        <v>198.22</v>
      </c>
      <c r="K70" s="72">
        <v>211.08</v>
      </c>
      <c r="L70" s="72">
        <v>227.79</v>
      </c>
      <c r="M70" s="72">
        <v>245.59</v>
      </c>
      <c r="N70" s="72">
        <v>264.95</v>
      </c>
      <c r="O70" s="72">
        <v>285.45999999999998</v>
      </c>
      <c r="P70" s="72">
        <v>306.7</v>
      </c>
      <c r="Q70" s="72">
        <v>328.25</v>
      </c>
      <c r="R70" s="72">
        <v>350.02</v>
      </c>
      <c r="S70" s="57">
        <v>371.65</v>
      </c>
      <c r="T70" s="57">
        <v>392.79</v>
      </c>
      <c r="U70" s="57">
        <v>413.05</v>
      </c>
      <c r="V70" s="57">
        <v>432.08</v>
      </c>
      <c r="W70" s="57">
        <v>449.51</v>
      </c>
      <c r="X70" s="57">
        <v>464.98</v>
      </c>
      <c r="Y70" s="57">
        <v>478.12</v>
      </c>
      <c r="Z70" s="57">
        <v>488.57</v>
      </c>
      <c r="AA70" s="69">
        <v>495.95</v>
      </c>
    </row>
    <row r="71" spans="1:27">
      <c r="A71" s="52">
        <v>87</v>
      </c>
      <c r="B71" s="53">
        <v>13.43</v>
      </c>
      <c r="C71" s="41">
        <v>24.96</v>
      </c>
      <c r="D71" s="41">
        <v>51.42</v>
      </c>
      <c r="E71" s="41">
        <v>80.59</v>
      </c>
      <c r="F71" s="41">
        <v>110.7</v>
      </c>
      <c r="G71" s="41">
        <v>146.02000000000001</v>
      </c>
      <c r="H71" s="76">
        <v>183.74</v>
      </c>
      <c r="I71" s="42">
        <v>198.22</v>
      </c>
      <c r="J71" s="42">
        <v>211.08</v>
      </c>
      <c r="K71" s="42">
        <v>227.79</v>
      </c>
      <c r="L71" s="42">
        <v>245.59</v>
      </c>
      <c r="M71" s="42">
        <v>264.95</v>
      </c>
      <c r="N71" s="42">
        <v>285.45999999999998</v>
      </c>
      <c r="O71" s="42">
        <v>306.7</v>
      </c>
      <c r="P71" s="42">
        <v>328.25</v>
      </c>
      <c r="Q71" s="42">
        <v>350.02</v>
      </c>
      <c r="R71" s="42">
        <v>371.65</v>
      </c>
      <c r="S71" s="41">
        <v>392.79</v>
      </c>
      <c r="T71" s="41">
        <v>413.05</v>
      </c>
      <c r="U71" s="41">
        <v>432.08</v>
      </c>
      <c r="V71" s="41">
        <v>449.51</v>
      </c>
      <c r="W71" s="41">
        <v>464.98</v>
      </c>
      <c r="X71" s="41">
        <v>478.12</v>
      </c>
      <c r="Y71" s="41">
        <v>488.57</v>
      </c>
      <c r="Z71" s="41">
        <v>495.95</v>
      </c>
      <c r="AA71" s="44">
        <v>500</v>
      </c>
    </row>
    <row r="72" spans="1:27">
      <c r="A72" s="55">
        <v>88</v>
      </c>
      <c r="B72" s="56">
        <v>15.68</v>
      </c>
      <c r="C72" s="57">
        <v>30.11</v>
      </c>
      <c r="D72" s="57">
        <v>63.26</v>
      </c>
      <c r="E72" s="57">
        <v>100.74</v>
      </c>
      <c r="F72" s="57">
        <v>139.6</v>
      </c>
      <c r="G72" s="73">
        <v>183.74</v>
      </c>
      <c r="H72" s="72">
        <v>198.22</v>
      </c>
      <c r="I72" s="72">
        <v>211.08</v>
      </c>
      <c r="J72" s="72">
        <v>227.79</v>
      </c>
      <c r="K72" s="72">
        <v>245.59</v>
      </c>
      <c r="L72" s="72">
        <v>264.95</v>
      </c>
      <c r="M72" s="72">
        <v>285.45999999999998</v>
      </c>
      <c r="N72" s="72">
        <v>306.7</v>
      </c>
      <c r="O72" s="72">
        <v>328.25</v>
      </c>
      <c r="P72" s="72">
        <v>350.02</v>
      </c>
      <c r="Q72" s="72">
        <v>371.65</v>
      </c>
      <c r="R72" s="72">
        <v>392.79</v>
      </c>
      <c r="S72" s="57">
        <v>413.05</v>
      </c>
      <c r="T72" s="57">
        <v>432.08</v>
      </c>
      <c r="U72" s="57">
        <v>449.51</v>
      </c>
      <c r="V72" s="57">
        <v>464.98</v>
      </c>
      <c r="W72" s="57">
        <v>478.12</v>
      </c>
      <c r="X72" s="57">
        <v>488.57</v>
      </c>
      <c r="Y72" s="57">
        <v>495.95</v>
      </c>
      <c r="Z72" s="57">
        <v>500</v>
      </c>
      <c r="AA72" s="69">
        <v>500</v>
      </c>
    </row>
    <row r="73" spans="1:27">
      <c r="A73" s="52">
        <v>89</v>
      </c>
      <c r="B73" s="53">
        <v>18.010000000000002</v>
      </c>
      <c r="C73" s="41">
        <v>35.21</v>
      </c>
      <c r="D73" s="41">
        <v>76.25</v>
      </c>
      <c r="E73" s="41">
        <v>123.29</v>
      </c>
      <c r="F73" s="41">
        <v>170.18</v>
      </c>
      <c r="G73" s="74">
        <v>198.22</v>
      </c>
      <c r="H73" s="42">
        <v>211.08</v>
      </c>
      <c r="I73" s="42">
        <v>227.79</v>
      </c>
      <c r="J73" s="42">
        <v>245.59</v>
      </c>
      <c r="K73" s="42">
        <v>264.95</v>
      </c>
      <c r="L73" s="42">
        <v>285.45999999999998</v>
      </c>
      <c r="M73" s="41">
        <v>306.7</v>
      </c>
      <c r="N73" s="41">
        <v>328.25</v>
      </c>
      <c r="O73" s="41">
        <v>350.02</v>
      </c>
      <c r="P73" s="41">
        <v>371.65</v>
      </c>
      <c r="Q73" s="41">
        <v>392.79</v>
      </c>
      <c r="R73" s="41">
        <v>413.05</v>
      </c>
      <c r="S73" s="41">
        <v>432.08</v>
      </c>
      <c r="T73" s="41">
        <v>449.51</v>
      </c>
      <c r="U73" s="41">
        <v>464.98</v>
      </c>
      <c r="V73" s="41">
        <v>478.12</v>
      </c>
      <c r="W73" s="41">
        <v>488.57</v>
      </c>
      <c r="X73" s="41">
        <v>495.95</v>
      </c>
      <c r="Y73" s="41">
        <v>500</v>
      </c>
      <c r="Z73" s="41">
        <v>500</v>
      </c>
      <c r="AA73" s="44">
        <v>500</v>
      </c>
    </row>
    <row r="74" spans="1:27">
      <c r="A74" s="55">
        <v>90</v>
      </c>
      <c r="B74" s="56">
        <v>20.69</v>
      </c>
      <c r="C74" s="57">
        <v>41.16</v>
      </c>
      <c r="D74" s="57">
        <v>91.34</v>
      </c>
      <c r="E74" s="57">
        <v>150.97</v>
      </c>
      <c r="F74" s="73">
        <v>198.22</v>
      </c>
      <c r="G74" s="72">
        <v>211.08</v>
      </c>
      <c r="H74" s="72">
        <v>227.79</v>
      </c>
      <c r="I74" s="72">
        <v>245.59</v>
      </c>
      <c r="J74" s="72">
        <v>264.95</v>
      </c>
      <c r="K74" s="72">
        <v>285.45999999999998</v>
      </c>
      <c r="L74" s="57">
        <v>306.7</v>
      </c>
      <c r="M74" s="57">
        <v>328.25</v>
      </c>
      <c r="N74" s="57">
        <v>350.02</v>
      </c>
      <c r="O74" s="57">
        <v>371.65</v>
      </c>
      <c r="P74" s="57">
        <v>392.79</v>
      </c>
      <c r="Q74" s="57">
        <v>413.05</v>
      </c>
      <c r="R74" s="57">
        <v>432.08</v>
      </c>
      <c r="S74" s="57">
        <v>449.51</v>
      </c>
      <c r="T74" s="57">
        <v>464.98</v>
      </c>
      <c r="U74" s="57">
        <v>478.12</v>
      </c>
      <c r="V74" s="57">
        <v>488.57</v>
      </c>
      <c r="W74" s="57">
        <v>495.95</v>
      </c>
      <c r="X74" s="57">
        <v>500</v>
      </c>
      <c r="Y74" s="57">
        <v>500</v>
      </c>
      <c r="Z74" s="57">
        <v>500</v>
      </c>
      <c r="AA74" s="69">
        <v>500</v>
      </c>
    </row>
    <row r="75" spans="1:27">
      <c r="A75" s="52">
        <v>91</v>
      </c>
      <c r="B75" s="53">
        <v>26.11</v>
      </c>
      <c r="C75" s="41">
        <v>64.28</v>
      </c>
      <c r="D75" s="41">
        <v>137.80000000000001</v>
      </c>
      <c r="E75" s="76">
        <v>198.22</v>
      </c>
      <c r="F75" s="42">
        <v>211.08</v>
      </c>
      <c r="G75" s="42">
        <v>227.79</v>
      </c>
      <c r="H75" s="42">
        <v>245.59</v>
      </c>
      <c r="I75" s="42">
        <v>264.95</v>
      </c>
      <c r="J75" s="42">
        <v>285.45999999999998</v>
      </c>
      <c r="K75" s="41">
        <v>306.7</v>
      </c>
      <c r="L75" s="41">
        <v>328.25</v>
      </c>
      <c r="M75" s="41">
        <v>350.02</v>
      </c>
      <c r="N75" s="41">
        <v>371.65</v>
      </c>
      <c r="O75" s="41">
        <v>392.79</v>
      </c>
      <c r="P75" s="41">
        <v>413.05</v>
      </c>
      <c r="Q75" s="41">
        <v>432.08</v>
      </c>
      <c r="R75" s="41">
        <v>449.51</v>
      </c>
      <c r="S75" s="41">
        <v>464.98</v>
      </c>
      <c r="T75" s="41">
        <v>478.12</v>
      </c>
      <c r="U75" s="41">
        <v>488.57</v>
      </c>
      <c r="V75" s="41">
        <v>495.95</v>
      </c>
      <c r="W75" s="41">
        <v>500</v>
      </c>
      <c r="X75" s="41">
        <v>500</v>
      </c>
      <c r="Y75" s="41">
        <v>500</v>
      </c>
      <c r="Z75" s="41">
        <v>500</v>
      </c>
      <c r="AA75" s="44">
        <v>500</v>
      </c>
    </row>
    <row r="76" spans="1:27">
      <c r="A76" s="55">
        <v>92</v>
      </c>
      <c r="B76" s="56">
        <v>37.21</v>
      </c>
      <c r="C76" s="57">
        <v>96.57</v>
      </c>
      <c r="D76" s="73">
        <v>198.22</v>
      </c>
      <c r="E76" s="72">
        <v>211.08</v>
      </c>
      <c r="F76" s="72">
        <v>227.79</v>
      </c>
      <c r="G76" s="72">
        <v>245.59</v>
      </c>
      <c r="H76" s="72">
        <v>264.95</v>
      </c>
      <c r="I76" s="72">
        <v>285.45999999999998</v>
      </c>
      <c r="J76" s="57">
        <v>306.7</v>
      </c>
      <c r="K76" s="57">
        <v>328.25</v>
      </c>
      <c r="L76" s="57">
        <v>350.02</v>
      </c>
      <c r="M76" s="57">
        <v>371.65</v>
      </c>
      <c r="N76" s="57">
        <v>392.79</v>
      </c>
      <c r="O76" s="57">
        <v>413.05</v>
      </c>
      <c r="P76" s="57">
        <v>432.08</v>
      </c>
      <c r="Q76" s="57">
        <v>449.51</v>
      </c>
      <c r="R76" s="57">
        <v>464.98</v>
      </c>
      <c r="S76" s="57">
        <v>478.12</v>
      </c>
      <c r="T76" s="57">
        <v>488.57</v>
      </c>
      <c r="U76" s="57">
        <v>495.95</v>
      </c>
      <c r="V76" s="57">
        <v>500</v>
      </c>
      <c r="W76" s="57">
        <v>500</v>
      </c>
      <c r="X76" s="57">
        <v>500</v>
      </c>
      <c r="Y76" s="57">
        <v>500</v>
      </c>
      <c r="Z76" s="57">
        <v>500</v>
      </c>
      <c r="AA76" s="69">
        <v>500</v>
      </c>
    </row>
    <row r="77" spans="1:27">
      <c r="A77" s="52">
        <v>93</v>
      </c>
      <c r="B77" s="53">
        <v>55.33</v>
      </c>
      <c r="C77" s="41">
        <v>139.86000000000001</v>
      </c>
      <c r="D77" s="74">
        <v>211.08</v>
      </c>
      <c r="E77" s="42">
        <v>227.79</v>
      </c>
      <c r="F77" s="42">
        <v>245.59</v>
      </c>
      <c r="G77" s="42">
        <v>264.95</v>
      </c>
      <c r="H77" s="42">
        <v>285.45999999999998</v>
      </c>
      <c r="I77" s="41">
        <v>306.7</v>
      </c>
      <c r="J77" s="41">
        <v>328.25</v>
      </c>
      <c r="K77" s="41">
        <v>350.02</v>
      </c>
      <c r="L77" s="41">
        <v>371.65</v>
      </c>
      <c r="M77" s="41">
        <v>392.79</v>
      </c>
      <c r="N77" s="41">
        <v>413.05</v>
      </c>
      <c r="O77" s="41">
        <v>432.08</v>
      </c>
      <c r="P77" s="41">
        <v>449.51</v>
      </c>
      <c r="Q77" s="41">
        <v>464.98</v>
      </c>
      <c r="R77" s="41">
        <v>478.12</v>
      </c>
      <c r="S77" s="41">
        <v>488.57</v>
      </c>
      <c r="T77" s="41">
        <v>495.95</v>
      </c>
      <c r="U77" s="41">
        <v>500</v>
      </c>
      <c r="V77" s="41">
        <v>500</v>
      </c>
      <c r="W77" s="41">
        <v>500</v>
      </c>
      <c r="X77" s="41">
        <v>500</v>
      </c>
      <c r="Y77" s="41">
        <v>500</v>
      </c>
      <c r="Z77" s="41">
        <v>500</v>
      </c>
      <c r="AA77" s="44">
        <v>500</v>
      </c>
    </row>
    <row r="78" spans="1:27">
      <c r="A78" s="55">
        <v>94</v>
      </c>
      <c r="B78" s="56">
        <v>81.489999999999995</v>
      </c>
      <c r="C78" s="57">
        <v>163.69999999999999</v>
      </c>
      <c r="D78" s="75">
        <v>227.79</v>
      </c>
      <c r="E78" s="72">
        <v>245.59</v>
      </c>
      <c r="F78" s="72">
        <v>264.95</v>
      </c>
      <c r="G78" s="72">
        <v>285.45999999999998</v>
      </c>
      <c r="H78" s="57">
        <v>306.7</v>
      </c>
      <c r="I78" s="57">
        <v>328.25</v>
      </c>
      <c r="J78" s="57">
        <v>350.02</v>
      </c>
      <c r="K78" s="57">
        <v>371.65</v>
      </c>
      <c r="L78" s="57">
        <v>392.79</v>
      </c>
      <c r="M78" s="57">
        <v>413.05</v>
      </c>
      <c r="N78" s="57">
        <v>432.08</v>
      </c>
      <c r="O78" s="57">
        <v>449.51</v>
      </c>
      <c r="P78" s="57">
        <v>464.98</v>
      </c>
      <c r="Q78" s="57">
        <v>478.12</v>
      </c>
      <c r="R78" s="57">
        <v>488.57</v>
      </c>
      <c r="S78" s="57">
        <v>495.95</v>
      </c>
      <c r="T78" s="57">
        <v>500</v>
      </c>
      <c r="U78" s="57">
        <v>500</v>
      </c>
      <c r="V78" s="57">
        <v>500</v>
      </c>
      <c r="W78" s="57">
        <v>500</v>
      </c>
      <c r="X78" s="57">
        <v>500</v>
      </c>
      <c r="Y78" s="57">
        <v>500</v>
      </c>
      <c r="Z78" s="57">
        <v>500</v>
      </c>
      <c r="AA78" s="69">
        <v>500</v>
      </c>
    </row>
    <row r="79" spans="1:27">
      <c r="A79" s="61">
        <v>95</v>
      </c>
      <c r="B79" s="77">
        <v>116.33</v>
      </c>
      <c r="C79" s="78">
        <v>227.79</v>
      </c>
      <c r="D79" s="79">
        <v>245.59</v>
      </c>
      <c r="E79" s="79">
        <v>264.95</v>
      </c>
      <c r="F79" s="79">
        <v>285.45999999999998</v>
      </c>
      <c r="G79" s="64">
        <v>306.7</v>
      </c>
      <c r="H79" s="64">
        <v>328.25</v>
      </c>
      <c r="I79" s="64">
        <v>350.02</v>
      </c>
      <c r="J79" s="64">
        <v>371.65</v>
      </c>
      <c r="K79" s="64">
        <v>392.79</v>
      </c>
      <c r="L79" s="64">
        <v>413.05</v>
      </c>
      <c r="M79" s="64">
        <v>432.08</v>
      </c>
      <c r="N79" s="64">
        <v>449.51</v>
      </c>
      <c r="O79" s="64">
        <v>464.98</v>
      </c>
      <c r="P79" s="64">
        <v>478.12</v>
      </c>
      <c r="Q79" s="64">
        <v>488.57</v>
      </c>
      <c r="R79" s="64">
        <v>495.95</v>
      </c>
      <c r="S79" s="64">
        <v>500</v>
      </c>
      <c r="T79" s="64">
        <v>500</v>
      </c>
      <c r="U79" s="64">
        <v>500</v>
      </c>
      <c r="V79" s="64">
        <v>500</v>
      </c>
      <c r="W79" s="64">
        <v>500</v>
      </c>
      <c r="X79" s="64">
        <v>500</v>
      </c>
      <c r="Y79" s="64">
        <v>500</v>
      </c>
      <c r="Z79" s="64">
        <v>500</v>
      </c>
      <c r="AA79" s="80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D438-3D7A-40B6-B94B-CC0902A8FAC2}">
  <dimension ref="A1:O151"/>
  <sheetViews>
    <sheetView tabSelected="1" zoomScale="85" zoomScaleNormal="85" workbookViewId="0">
      <selection activeCell="G34" sqref="G34"/>
    </sheetView>
  </sheetViews>
  <sheetFormatPr defaultRowHeight="15"/>
  <cols>
    <col min="1" max="1" width="9.140625" style="13"/>
    <col min="2" max="2" width="9.140625" style="13" customWidth="1"/>
    <col min="3" max="3" width="9.140625" style="14"/>
    <col min="4" max="5" width="9.140625" style="13"/>
    <col min="6" max="6" width="16.140625" style="15" customWidth="1"/>
    <col min="7" max="7" width="19" style="13" bestFit="1" customWidth="1"/>
    <col min="8" max="8" width="23" style="24" bestFit="1" customWidth="1"/>
    <col min="9" max="9" width="12.42578125" customWidth="1"/>
    <col min="10" max="10" width="16.5703125" bestFit="1" customWidth="1"/>
    <col min="11" max="11" width="21.140625" bestFit="1" customWidth="1"/>
    <col min="12" max="12" width="21.85546875" bestFit="1" customWidth="1"/>
    <col min="13" max="13" width="23" bestFit="1" customWidth="1"/>
    <col min="14" max="14" width="16.7109375" customWidth="1"/>
    <col min="15" max="15" width="8.7109375" bestFit="1" customWidth="1"/>
  </cols>
  <sheetData>
    <row r="1" spans="1:13" ht="21">
      <c r="A1" s="85" t="s">
        <v>37</v>
      </c>
      <c r="B1" s="85"/>
      <c r="C1" s="85"/>
      <c r="D1" s="85"/>
      <c r="E1" s="85"/>
      <c r="F1" s="85"/>
    </row>
    <row r="3" spans="1:13" ht="18.75" thickBot="1">
      <c r="A3" s="36" t="s">
        <v>14</v>
      </c>
      <c r="B3" s="36" t="s">
        <v>13</v>
      </c>
      <c r="C3" s="37" t="s">
        <v>18</v>
      </c>
      <c r="D3" s="37" t="s">
        <v>19</v>
      </c>
      <c r="E3" s="38" t="s">
        <v>20</v>
      </c>
      <c r="F3" s="39" t="s">
        <v>21</v>
      </c>
      <c r="G3" s="36" t="s">
        <v>24</v>
      </c>
      <c r="H3" s="40" t="s">
        <v>25</v>
      </c>
      <c r="I3" s="40" t="s">
        <v>30</v>
      </c>
      <c r="K3" s="34" t="s">
        <v>15</v>
      </c>
      <c r="L3" s="34" t="s">
        <v>33</v>
      </c>
      <c r="M3" s="34" t="s">
        <v>34</v>
      </c>
    </row>
    <row r="4" spans="1:13" ht="15.75" thickTop="1">
      <c r="A4" s="29" cm="1">
        <f t="array" ref="A4:A23">_xlfn.SEQUENCE(Term,1,0,1)</f>
        <v>0</v>
      </c>
      <c r="B4" s="29" cm="1">
        <f t="array" ref="B4:B23">_xlfn.SEQUENCE(Term,1,IssueAge,1)</f>
        <v>23</v>
      </c>
      <c r="C4" s="30" cm="1">
        <f t="array" aca="1" ref="C4:C23" ca="1">_xlfn.MAP(_xlfn.ANCHORARRAY(A4), _xlfn.LAMBDA(_xlpm.t, INDEX(INDIRECT(Gender&amp;"NS!B2:AA79"), MATCH(IssueAge, INDIRECT(Gender&amp;"NS!A2:A79"), 0), MATCH(_xlpm.t+1, INDIRECT(Gender&amp;"NS!B1:AA1"), 0))/1000))</f>
        <v>3.8000000000000002E-4</v>
      </c>
      <c r="D4" s="30" cm="1">
        <f t="array" aca="1" ref="D4:D23" ca="1">1-_xlfn.ANCHORARRAY(C4)</f>
        <v>0.99961999999999995</v>
      </c>
      <c r="E4" s="29">
        <v>1</v>
      </c>
      <c r="F4" s="31" cm="1">
        <f t="array" ref="F4:F23">1/(1+InterestRate)^(_xlfn.ANCHORARRAY(A4))</f>
        <v>1</v>
      </c>
      <c r="G4" s="30" t="e" cm="1">
        <f t="array" ref="G4:G23">_xlfn.ANCHORARRAY(E4)*_xlfn.ANCHORARRAY(F4)</f>
        <v>#REF!</v>
      </c>
      <c r="H4" s="32" t="e" cm="1">
        <f t="array" aca="1" ref="H4:H23" ca="1">(1/(1+InterestRate)*_xlfn.ANCHORARRAY(C4)*_xlfn.ANCHORARRAY(E4)*_xlfn.ANCHORARRAY(F4))</f>
        <v>#REF!</v>
      </c>
      <c r="I4" s="42">
        <v>0</v>
      </c>
      <c r="J4" s="43"/>
      <c r="K4" s="84" t="e">
        <f ca="1">SUM(col_EPVDeath)*FaceAmount</f>
        <v>#REF!</v>
      </c>
      <c r="L4" s="84" t="e">
        <f ca="1">K4/(L10-(11/24))</f>
        <v>#REF!</v>
      </c>
      <c r="M4" s="84" t="e">
        <f ca="1">L4/12</f>
        <v>#REF!</v>
      </c>
    </row>
    <row r="5" spans="1:13">
      <c r="A5" s="22">
        <v>1</v>
      </c>
      <c r="B5" s="22">
        <v>24</v>
      </c>
      <c r="C5" s="21">
        <f ca="1"/>
        <v>3.8999999999999999E-4</v>
      </c>
      <c r="D5" s="23">
        <f ca="1"/>
        <v>0.99961</v>
      </c>
      <c r="E5" s="22" cm="1">
        <f t="array" aca="1" ref="E5:E24" ca="1">_xlfn.DROP(_xlfn.VSTACK(1, _xlfn.SCAN(1,_xlfn.ANCHORARRAY( D4), _xlfn.LAMBDA(_xlpm.acc,_xlpm.p, _xlpm.acc * _xlpm.p))),1)</f>
        <v>0.99961999999999995</v>
      </c>
      <c r="F5" s="27">
        <v>0.95238095238095233</v>
      </c>
      <c r="G5" s="30" t="e">
        <v>#REF!</v>
      </c>
      <c r="H5" s="28" t="e">
        <f ca="1"/>
        <v>#REF!</v>
      </c>
      <c r="I5" s="42" t="e">
        <f t="shared" ref="I5:I36" ca="1" si="0">IF(A5="","",IF(A5=Term-1,0,((I4+Gross_Annual_Premium-Fixed_Expense)*(1+InterestRate)-C5*FaceAmount)/D5))</f>
        <v>#REF!</v>
      </c>
    </row>
    <row r="6" spans="1:13">
      <c r="A6" s="20">
        <v>2</v>
      </c>
      <c r="B6" s="20">
        <v>25</v>
      </c>
      <c r="C6" s="21">
        <f ca="1"/>
        <v>3.5E-4</v>
      </c>
      <c r="D6" s="21">
        <f ca="1"/>
        <v>0.99965000000000004</v>
      </c>
      <c r="E6" s="86">
        <f ca="1"/>
        <v>0.9992301482</v>
      </c>
      <c r="F6" s="25">
        <v>0.90702947845804982</v>
      </c>
      <c r="G6" s="30" t="e">
        <v>#REF!</v>
      </c>
      <c r="H6" s="26" t="e">
        <f ca="1"/>
        <v>#REF!</v>
      </c>
      <c r="I6" s="42" t="e">
        <f t="shared" ca="1" si="0"/>
        <v>#REF!</v>
      </c>
      <c r="K6" s="34" t="s">
        <v>32</v>
      </c>
      <c r="L6" s="34" t="s">
        <v>35</v>
      </c>
      <c r="M6" s="34" t="s">
        <v>36</v>
      </c>
    </row>
    <row r="7" spans="1:13">
      <c r="A7" s="22">
        <v>3</v>
      </c>
      <c r="B7" s="22">
        <v>26</v>
      </c>
      <c r="C7" s="21">
        <f ca="1"/>
        <v>3.4000000000000002E-4</v>
      </c>
      <c r="D7" s="23">
        <f ca="1"/>
        <v>0.99965999999999999</v>
      </c>
      <c r="E7" s="22">
        <f ca="1"/>
        <v>0.99888041764813007</v>
      </c>
      <c r="F7" s="27">
        <v>0.86383759853147601</v>
      </c>
      <c r="G7" s="30" t="e">
        <v>#REF!</v>
      </c>
      <c r="H7" s="28" t="e">
        <f ca="1"/>
        <v>#REF!</v>
      </c>
      <c r="I7" s="42" t="e">
        <f t="shared" ca="1" si="0"/>
        <v>#REF!</v>
      </c>
      <c r="K7" s="84" t="e">
        <f ca="1">(K4+Fixed_Expense)/(1-Expense_Load-Profit_Margin)</f>
        <v>#REF!</v>
      </c>
      <c r="L7" s="84" t="e">
        <f ca="1">K7/(L10-(11/24))</f>
        <v>#REF!</v>
      </c>
      <c r="M7" s="84" t="e">
        <f ca="1">L7/12</f>
        <v>#REF!</v>
      </c>
    </row>
    <row r="8" spans="1:13">
      <c r="A8" s="20">
        <v>4</v>
      </c>
      <c r="B8" s="20">
        <v>27</v>
      </c>
      <c r="C8" s="21">
        <f ca="1"/>
        <v>3.3E-4</v>
      </c>
      <c r="D8" s="21">
        <f ca="1"/>
        <v>0.99966999999999995</v>
      </c>
      <c r="E8" s="20">
        <f ca="1"/>
        <v>0.99854079830612974</v>
      </c>
      <c r="F8" s="25">
        <v>0.82270247479188197</v>
      </c>
      <c r="G8" s="30" t="e">
        <v>#REF!</v>
      </c>
      <c r="H8" s="26" t="e">
        <f ca="1"/>
        <v>#REF!</v>
      </c>
      <c r="I8" s="42" t="e">
        <f t="shared" ca="1" si="0"/>
        <v>#REF!</v>
      </c>
    </row>
    <row r="9" spans="1:13" ht="18">
      <c r="A9" s="22">
        <v>5</v>
      </c>
      <c r="B9" s="22">
        <v>28</v>
      </c>
      <c r="C9" s="21">
        <f ca="1"/>
        <v>3.3E-4</v>
      </c>
      <c r="D9" s="23">
        <f ca="1"/>
        <v>0.99966999999999995</v>
      </c>
      <c r="E9" s="22">
        <f ca="1"/>
        <v>0.99821127984268865</v>
      </c>
      <c r="F9" s="27">
        <v>0.78352616646845896</v>
      </c>
      <c r="G9" s="30" t="e">
        <v>#REF!</v>
      </c>
      <c r="H9" s="28" t="e">
        <f ca="1"/>
        <v>#REF!</v>
      </c>
      <c r="I9" s="42" t="e">
        <f t="shared" ca="1" si="0"/>
        <v>#REF!</v>
      </c>
      <c r="K9" s="35" t="s">
        <v>22</v>
      </c>
      <c r="L9" s="35" t="s">
        <v>23</v>
      </c>
    </row>
    <row r="10" spans="1:13">
      <c r="A10" s="20">
        <v>6</v>
      </c>
      <c r="B10" s="20">
        <v>29</v>
      </c>
      <c r="C10" s="21">
        <f ca="1"/>
        <v>3.3E-4</v>
      </c>
      <c r="D10" s="21">
        <f ca="1"/>
        <v>0.99966999999999995</v>
      </c>
      <c r="E10" s="20">
        <f ca="1"/>
        <v>0.99788187012034046</v>
      </c>
      <c r="F10" s="25">
        <v>0.74621539663662761</v>
      </c>
      <c r="G10" s="30" t="e">
        <v>#REF!</v>
      </c>
      <c r="H10" s="26" t="e">
        <f ca="1"/>
        <v>#REF!</v>
      </c>
      <c r="I10" s="42" t="e">
        <f t="shared" ca="1" si="0"/>
        <v>#REF!</v>
      </c>
      <c r="K10" s="33" t="e">
        <f ca="1">SUM(col_EPVDeath)</f>
        <v>#REF!</v>
      </c>
      <c r="L10" s="33" t="e">
        <f ca="1">SUM(col_annuity)</f>
        <v>#REF!</v>
      </c>
    </row>
    <row r="11" spans="1:13">
      <c r="A11" s="22">
        <v>7</v>
      </c>
      <c r="B11" s="22">
        <v>30</v>
      </c>
      <c r="C11" s="21">
        <f ca="1"/>
        <v>3.3E-4</v>
      </c>
      <c r="D11" s="23">
        <f ca="1"/>
        <v>0.99966999999999995</v>
      </c>
      <c r="E11" s="22">
        <f ca="1"/>
        <v>0.99755256910320067</v>
      </c>
      <c r="F11" s="27">
        <v>0.71068133013012147</v>
      </c>
      <c r="G11" s="30" t="e">
        <v>#REF!</v>
      </c>
      <c r="H11" s="28" t="e">
        <f ca="1"/>
        <v>#REF!</v>
      </c>
      <c r="I11" s="42" t="e">
        <f t="shared" ca="1" si="0"/>
        <v>#REF!</v>
      </c>
      <c r="K11" s="83"/>
    </row>
    <row r="12" spans="1:13">
      <c r="A12" s="20">
        <v>8</v>
      </c>
      <c r="B12" s="20">
        <v>31</v>
      </c>
      <c r="C12" s="21">
        <f ca="1"/>
        <v>3.4000000000000002E-4</v>
      </c>
      <c r="D12" s="21">
        <f ca="1"/>
        <v>0.99965999999999999</v>
      </c>
      <c r="E12" s="20">
        <f ca="1"/>
        <v>0.99722337675539652</v>
      </c>
      <c r="F12" s="25">
        <v>0.67683936202868722</v>
      </c>
      <c r="G12" s="30" t="e">
        <v>#REF!</v>
      </c>
      <c r="H12" s="26" t="e">
        <f ca="1"/>
        <v>#REF!</v>
      </c>
      <c r="I12" s="42" t="e">
        <f t="shared" ca="1" si="0"/>
        <v>#REF!</v>
      </c>
    </row>
    <row r="13" spans="1:13">
      <c r="A13" s="22">
        <v>9</v>
      </c>
      <c r="B13" s="22">
        <v>32</v>
      </c>
      <c r="C13" s="21">
        <f ca="1"/>
        <v>4.0000000000000002E-4</v>
      </c>
      <c r="D13" s="23">
        <f ca="1"/>
        <v>0.99960000000000004</v>
      </c>
      <c r="E13" s="22">
        <f ca="1"/>
        <v>0.99688432080729972</v>
      </c>
      <c r="F13" s="27">
        <v>0.64460891621779726</v>
      </c>
      <c r="G13" s="30" t="e">
        <v>#REF!</v>
      </c>
      <c r="H13" s="28" t="e">
        <f ca="1"/>
        <v>#REF!</v>
      </c>
      <c r="I13" s="42" t="e">
        <f t="shared" ca="1" si="0"/>
        <v>#REF!</v>
      </c>
    </row>
    <row r="14" spans="1:13">
      <c r="A14" s="13">
        <v>10</v>
      </c>
      <c r="B14" s="13">
        <v>33</v>
      </c>
      <c r="C14" s="13">
        <f ca="1"/>
        <v>4.2999999999999999E-4</v>
      </c>
      <c r="D14" s="13">
        <f ca="1"/>
        <v>0.99956999999999996</v>
      </c>
      <c r="E14" s="13">
        <f ca="1"/>
        <v>0.99648556707897684</v>
      </c>
      <c r="F14" s="13">
        <v>0.61391325354075932</v>
      </c>
      <c r="G14" s="13" t="e">
        <v>#REF!</v>
      </c>
      <c r="H14" s="13" t="e">
        <f ca="1"/>
        <v>#REF!</v>
      </c>
      <c r="I14" s="42" t="e">
        <f t="shared" ca="1" si="0"/>
        <v>#REF!</v>
      </c>
      <c r="K14" s="43"/>
    </row>
    <row r="15" spans="1:13">
      <c r="A15" s="13">
        <v>11</v>
      </c>
      <c r="B15" s="13">
        <v>34</v>
      </c>
      <c r="C15" s="13">
        <f ca="1"/>
        <v>4.6999999999999999E-4</v>
      </c>
      <c r="D15" s="13">
        <f ca="1"/>
        <v>0.99953000000000003</v>
      </c>
      <c r="E15" s="13">
        <f ca="1"/>
        <v>0.99605707828513279</v>
      </c>
      <c r="F15" s="13">
        <v>0.5846792890864374</v>
      </c>
      <c r="G15" s="13" t="e">
        <v>#REF!</v>
      </c>
      <c r="H15" s="13" t="e">
        <f ca="1"/>
        <v>#REF!</v>
      </c>
      <c r="I15" s="42" t="e">
        <f t="shared" ca="1" si="0"/>
        <v>#REF!</v>
      </c>
      <c r="K15" s="1"/>
    </row>
    <row r="16" spans="1:13">
      <c r="A16" s="13">
        <v>12</v>
      </c>
      <c r="B16" s="13">
        <v>35</v>
      </c>
      <c r="C16" s="13">
        <f ca="1"/>
        <v>5.0000000000000001E-4</v>
      </c>
      <c r="D16" s="13">
        <f ca="1"/>
        <v>0.99950000000000006</v>
      </c>
      <c r="E16" s="13">
        <f ca="1"/>
        <v>0.99558893145833882</v>
      </c>
      <c r="F16" s="13">
        <v>0.5568374181775595</v>
      </c>
      <c r="G16" s="13" t="e">
        <v>#REF!</v>
      </c>
      <c r="H16" s="13" t="e">
        <f ca="1"/>
        <v>#REF!</v>
      </c>
      <c r="I16" s="42" t="e">
        <f t="shared" ca="1" si="0"/>
        <v>#REF!</v>
      </c>
      <c r="K16" s="46"/>
    </row>
    <row r="17" spans="1:15">
      <c r="A17" s="13">
        <v>13</v>
      </c>
      <c r="B17" s="13">
        <v>36</v>
      </c>
      <c r="C17" s="13">
        <f ca="1"/>
        <v>5.6999999999999998E-4</v>
      </c>
      <c r="D17" s="13">
        <f ca="1"/>
        <v>0.99943000000000004</v>
      </c>
      <c r="E17" s="13">
        <f ca="1"/>
        <v>0.99509113699260976</v>
      </c>
      <c r="F17" s="13">
        <v>0.53032135064529462</v>
      </c>
      <c r="G17" s="13" t="e">
        <v>#REF!</v>
      </c>
      <c r="H17" s="13" t="e">
        <f ca="1"/>
        <v>#REF!</v>
      </c>
      <c r="I17" s="42" t="e">
        <f t="shared" ca="1" si="0"/>
        <v>#REF!</v>
      </c>
    </row>
    <row r="18" spans="1:15" ht="15.75">
      <c r="A18" s="13">
        <v>14</v>
      </c>
      <c r="B18" s="13">
        <v>37</v>
      </c>
      <c r="C18" s="13">
        <f ca="1"/>
        <v>6.3000000000000003E-4</v>
      </c>
      <c r="D18" s="13">
        <f ca="1"/>
        <v>0.99936999999999998</v>
      </c>
      <c r="E18" s="13">
        <f ca="1"/>
        <v>0.99452393504452397</v>
      </c>
      <c r="F18" s="13">
        <v>0.50506795299551888</v>
      </c>
      <c r="G18" s="13" t="e">
        <v>#REF!</v>
      </c>
      <c r="H18" s="13" t="e">
        <f ca="1"/>
        <v>#REF!</v>
      </c>
      <c r="I18" s="42" t="e">
        <f t="shared" ca="1" si="0"/>
        <v>#REF!</v>
      </c>
      <c r="K18" s="12" t="s">
        <v>0</v>
      </c>
      <c r="L18" s="12"/>
      <c r="N18" s="1" t="s">
        <v>1</v>
      </c>
      <c r="O18" s="1"/>
    </row>
    <row r="19" spans="1:15">
      <c r="A19" s="13">
        <v>15</v>
      </c>
      <c r="B19" s="13">
        <v>38</v>
      </c>
      <c r="C19" s="13">
        <f ca="1"/>
        <v>6.8000000000000005E-4</v>
      </c>
      <c r="D19" s="13">
        <f ca="1"/>
        <v>0.99931999999999999</v>
      </c>
      <c r="E19" s="13">
        <f ca="1"/>
        <v>0.99389738496544588</v>
      </c>
      <c r="F19" s="13">
        <v>0.48101709809097021</v>
      </c>
      <c r="G19" s="13" t="e">
        <v>#REF!</v>
      </c>
      <c r="H19" s="13" t="e">
        <f ca="1"/>
        <v>#REF!</v>
      </c>
      <c r="I19" s="42" t="e">
        <f t="shared" ca="1" si="0"/>
        <v>#REF!</v>
      </c>
      <c r="O19" s="11"/>
    </row>
    <row r="20" spans="1:15" ht="15.75" thickBot="1">
      <c r="A20" s="13">
        <v>16</v>
      </c>
      <c r="B20" s="13">
        <v>39</v>
      </c>
      <c r="C20" s="13">
        <f ca="1"/>
        <v>7.7000000000000007E-4</v>
      </c>
      <c r="D20" s="13">
        <f ca="1"/>
        <v>0.99922999999999995</v>
      </c>
      <c r="E20" s="13">
        <f ca="1"/>
        <v>0.99322153474366937</v>
      </c>
      <c r="F20" s="13">
        <v>0.45811152199140021</v>
      </c>
      <c r="G20" s="13" t="e">
        <v>#REF!</v>
      </c>
      <c r="H20" s="13" t="e">
        <f ca="1"/>
        <v>#REF!</v>
      </c>
      <c r="I20" s="42" t="e">
        <f t="shared" ca="1" si="0"/>
        <v>#REF!</v>
      </c>
      <c r="K20" s="16" t="s">
        <v>2</v>
      </c>
      <c r="L20" s="17" t="s">
        <v>3</v>
      </c>
      <c r="N20" s="16" t="s">
        <v>2</v>
      </c>
      <c r="O20" s="18" t="s">
        <v>3</v>
      </c>
    </row>
    <row r="21" spans="1:15" ht="15.75" thickTop="1">
      <c r="A21" s="13">
        <v>17</v>
      </c>
      <c r="B21" s="13">
        <v>40</v>
      </c>
      <c r="C21" s="13">
        <f ca="1"/>
        <v>8.9999999999999998E-4</v>
      </c>
      <c r="D21" s="13">
        <f ca="1"/>
        <v>0.99909999999999999</v>
      </c>
      <c r="E21" s="13">
        <f ca="1"/>
        <v>0.9924567541619167</v>
      </c>
      <c r="F21" s="13">
        <v>0.43629668761085727</v>
      </c>
      <c r="G21" s="13" t="e">
        <v>#REF!</v>
      </c>
      <c r="H21" s="13" t="e">
        <f ca="1"/>
        <v>#REF!</v>
      </c>
      <c r="I21" s="42" t="e">
        <f t="shared" ca="1" si="0"/>
        <v>#REF!</v>
      </c>
      <c r="K21" s="2" t="s">
        <v>8</v>
      </c>
      <c r="L21" s="7" t="s">
        <v>12</v>
      </c>
      <c r="N21" s="2" t="s">
        <v>6</v>
      </c>
      <c r="O21" s="8">
        <v>0.05</v>
      </c>
    </row>
    <row r="22" spans="1:15">
      <c r="A22" s="13">
        <v>18</v>
      </c>
      <c r="B22" s="13">
        <v>41</v>
      </c>
      <c r="C22" s="13">
        <f ca="1"/>
        <v>1.0200000000000001E-3</v>
      </c>
      <c r="D22" s="13">
        <f ca="1"/>
        <v>0.99897999999999998</v>
      </c>
      <c r="E22" s="13">
        <f ca="1"/>
        <v>0.99156354308317096</v>
      </c>
      <c r="F22" s="13">
        <v>0.41552065486748313</v>
      </c>
      <c r="G22" s="13" t="e">
        <v>#REF!</v>
      </c>
      <c r="H22" s="13" t="e">
        <f ca="1"/>
        <v>#REF!</v>
      </c>
      <c r="I22" s="42" t="e">
        <f t="shared" ca="1" si="0"/>
        <v>#REF!</v>
      </c>
      <c r="K22" s="3" t="s">
        <v>9</v>
      </c>
      <c r="L22" s="5">
        <v>23</v>
      </c>
      <c r="N22" s="3" t="s">
        <v>31</v>
      </c>
      <c r="O22" s="82">
        <v>50</v>
      </c>
    </row>
    <row r="23" spans="1:15">
      <c r="A23" s="13">
        <v>19</v>
      </c>
      <c r="B23" s="13">
        <v>42</v>
      </c>
      <c r="C23" s="13">
        <f ca="1"/>
        <v>1.1200000000000001E-3</v>
      </c>
      <c r="D23" s="13">
        <f ca="1"/>
        <v>0.99887999999999999</v>
      </c>
      <c r="E23" s="13">
        <f ca="1"/>
        <v>0.99055214826922611</v>
      </c>
      <c r="F23" s="13">
        <v>0.39573395701665059</v>
      </c>
      <c r="G23" s="13" t="e">
        <v>#REF!</v>
      </c>
      <c r="H23" s="13" t="e">
        <f ca="1"/>
        <v>#REF!</v>
      </c>
      <c r="I23" s="42">
        <f t="shared" si="0"/>
        <v>0</v>
      </c>
      <c r="K23" s="3" t="s">
        <v>4</v>
      </c>
      <c r="L23" s="5" t="s">
        <v>38</v>
      </c>
      <c r="N23" s="3" t="s">
        <v>7</v>
      </c>
      <c r="O23" s="9">
        <v>0.15</v>
      </c>
    </row>
    <row r="24" spans="1:15">
      <c r="E24" s="13">
        <f ca="1"/>
        <v>0.98944272986316462</v>
      </c>
      <c r="I24" t="str">
        <f t="shared" si="0"/>
        <v/>
      </c>
      <c r="K24" s="3" t="s">
        <v>16</v>
      </c>
      <c r="L24" s="5" t="s">
        <v>17</v>
      </c>
      <c r="N24" s="4" t="s">
        <v>5</v>
      </c>
      <c r="O24" s="10">
        <v>0.05</v>
      </c>
    </row>
    <row r="25" spans="1:15">
      <c r="I25" t="str">
        <f t="shared" si="0"/>
        <v/>
      </c>
      <c r="K25" s="3" t="s">
        <v>10</v>
      </c>
      <c r="L25" s="6">
        <v>500000</v>
      </c>
    </row>
    <row r="26" spans="1:15">
      <c r="C26" s="13"/>
      <c r="F26" s="13"/>
      <c r="H26" s="13"/>
      <c r="I26" t="str">
        <f t="shared" si="0"/>
        <v/>
      </c>
      <c r="K26" s="4" t="s">
        <v>11</v>
      </c>
      <c r="L26" s="19">
        <v>20</v>
      </c>
    </row>
    <row r="27" spans="1:15">
      <c r="C27" s="13"/>
      <c r="F27" s="13"/>
      <c r="H27" s="13"/>
      <c r="I27" t="str">
        <f t="shared" si="0"/>
        <v/>
      </c>
    </row>
    <row r="28" spans="1:15">
      <c r="C28" s="13"/>
      <c r="F28" s="13"/>
      <c r="H28" s="13"/>
      <c r="I28" t="str">
        <f t="shared" si="0"/>
        <v/>
      </c>
    </row>
    <row r="29" spans="1:15">
      <c r="C29" s="13"/>
      <c r="F29" s="13"/>
      <c r="H29" s="13"/>
      <c r="I29" t="str">
        <f t="shared" si="0"/>
        <v/>
      </c>
    </row>
    <row r="30" spans="1:15">
      <c r="C30" s="13"/>
      <c r="F30" s="13"/>
      <c r="H30" s="13"/>
      <c r="I30" t="str">
        <f t="shared" si="0"/>
        <v/>
      </c>
    </row>
    <row r="31" spans="1:15">
      <c r="C31" s="13"/>
      <c r="F31" s="13"/>
      <c r="H31" s="13"/>
      <c r="I31" t="str">
        <f t="shared" si="0"/>
        <v/>
      </c>
    </row>
    <row r="32" spans="1:15">
      <c r="C32" s="13"/>
      <c r="F32" s="13"/>
      <c r="H32" s="13"/>
      <c r="I32" t="str">
        <f t="shared" si="0"/>
        <v/>
      </c>
      <c r="O32" s="46"/>
    </row>
    <row r="33" spans="3:9">
      <c r="C33" s="13"/>
      <c r="F33" s="13"/>
      <c r="H33" s="13"/>
      <c r="I33" t="str">
        <f t="shared" si="0"/>
        <v/>
      </c>
    </row>
    <row r="34" spans="3:9">
      <c r="C34" s="13"/>
      <c r="F34" s="13"/>
      <c r="G34" s="87"/>
      <c r="H34" s="13"/>
      <c r="I34" t="str">
        <f t="shared" si="0"/>
        <v/>
      </c>
    </row>
    <row r="35" spans="3:9">
      <c r="C35" s="13"/>
      <c r="F35" s="13"/>
      <c r="H35" s="13"/>
      <c r="I35" t="str">
        <f t="shared" si="0"/>
        <v/>
      </c>
    </row>
    <row r="36" spans="3:9">
      <c r="C36" s="13"/>
      <c r="F36" s="13"/>
      <c r="H36" s="13"/>
      <c r="I36" t="str">
        <f t="shared" si="0"/>
        <v/>
      </c>
    </row>
    <row r="37" spans="3:9">
      <c r="C37" s="13"/>
      <c r="F37" s="13"/>
      <c r="H37" s="13"/>
      <c r="I37" t="str">
        <f t="shared" ref="I37:I68" si="1">IF(A37="","",IF(A37=Term-1,0,((I36+Gross_Annual_Premium-Fixed_Expense)*(1+InterestRate)-C37*FaceAmount)/D37))</f>
        <v/>
      </c>
    </row>
    <row r="38" spans="3:9">
      <c r="C38" s="13"/>
      <c r="F38" s="13"/>
      <c r="H38" s="13"/>
      <c r="I38" t="str">
        <f t="shared" si="1"/>
        <v/>
      </c>
    </row>
    <row r="39" spans="3:9">
      <c r="C39" s="13"/>
      <c r="F39" s="13"/>
      <c r="H39" s="13"/>
      <c r="I39" t="str">
        <f t="shared" si="1"/>
        <v/>
      </c>
    </row>
    <row r="40" spans="3:9">
      <c r="C40" s="13"/>
      <c r="F40" s="13"/>
      <c r="H40" s="13"/>
      <c r="I40" t="str">
        <f t="shared" si="1"/>
        <v/>
      </c>
    </row>
    <row r="41" spans="3:9">
      <c r="C41" s="13"/>
      <c r="F41" s="13"/>
      <c r="H41" s="13"/>
      <c r="I41" t="str">
        <f t="shared" si="1"/>
        <v/>
      </c>
    </row>
    <row r="42" spans="3:9">
      <c r="C42" s="13"/>
      <c r="F42" s="13"/>
      <c r="H42" s="13"/>
      <c r="I42" t="str">
        <f t="shared" si="1"/>
        <v/>
      </c>
    </row>
    <row r="43" spans="3:9">
      <c r="C43" s="13"/>
      <c r="F43" s="13"/>
      <c r="H43" s="13"/>
      <c r="I43" t="str">
        <f t="shared" si="1"/>
        <v/>
      </c>
    </row>
    <row r="44" spans="3:9">
      <c r="C44" s="13"/>
      <c r="F44" s="13"/>
      <c r="H44" s="13"/>
      <c r="I44" t="str">
        <f t="shared" si="1"/>
        <v/>
      </c>
    </row>
    <row r="45" spans="3:9">
      <c r="C45" s="13"/>
      <c r="F45" s="13"/>
      <c r="H45" s="13"/>
      <c r="I45" t="str">
        <f t="shared" si="1"/>
        <v/>
      </c>
    </row>
    <row r="46" spans="3:9">
      <c r="C46" s="13"/>
      <c r="F46" s="13"/>
      <c r="H46" s="13"/>
      <c r="I46" t="str">
        <f t="shared" si="1"/>
        <v/>
      </c>
    </row>
    <row r="47" spans="3:9">
      <c r="C47" s="13"/>
      <c r="F47" s="13"/>
      <c r="H47" s="13"/>
      <c r="I47" t="str">
        <f t="shared" si="1"/>
        <v/>
      </c>
    </row>
    <row r="48" spans="3:9">
      <c r="C48" s="13"/>
      <c r="F48" s="13"/>
      <c r="H48" s="13"/>
      <c r="I48" t="str">
        <f t="shared" si="1"/>
        <v/>
      </c>
    </row>
    <row r="49" spans="3:9">
      <c r="C49" s="13"/>
      <c r="F49" s="13"/>
      <c r="H49" s="13"/>
      <c r="I49" t="str">
        <f t="shared" si="1"/>
        <v/>
      </c>
    </row>
    <row r="50" spans="3:9">
      <c r="C50" s="13"/>
      <c r="F50" s="13"/>
      <c r="H50" s="13"/>
      <c r="I50" t="str">
        <f t="shared" si="1"/>
        <v/>
      </c>
    </row>
    <row r="51" spans="3:9">
      <c r="C51" s="13"/>
      <c r="F51" s="13"/>
      <c r="H51" s="13"/>
      <c r="I51" t="str">
        <f t="shared" si="1"/>
        <v/>
      </c>
    </row>
    <row r="52" spans="3:9">
      <c r="C52" s="13"/>
      <c r="F52" s="13"/>
      <c r="H52" s="13"/>
      <c r="I52" t="str">
        <f t="shared" si="1"/>
        <v/>
      </c>
    </row>
    <row r="53" spans="3:9">
      <c r="C53" s="13"/>
      <c r="F53" s="13"/>
      <c r="H53" s="13"/>
      <c r="I53" t="str">
        <f t="shared" si="1"/>
        <v/>
      </c>
    </row>
    <row r="54" spans="3:9">
      <c r="C54" s="13"/>
      <c r="F54" s="13"/>
      <c r="H54" s="13"/>
      <c r="I54" t="str">
        <f t="shared" si="1"/>
        <v/>
      </c>
    </row>
    <row r="55" spans="3:9">
      <c r="C55" s="13"/>
      <c r="F55" s="13"/>
      <c r="H55" s="13"/>
      <c r="I55" t="str">
        <f t="shared" si="1"/>
        <v/>
      </c>
    </row>
    <row r="56" spans="3:9">
      <c r="C56" s="13"/>
      <c r="F56" s="13"/>
      <c r="H56" s="13"/>
      <c r="I56" t="str">
        <f t="shared" si="1"/>
        <v/>
      </c>
    </row>
    <row r="57" spans="3:9">
      <c r="C57" s="13"/>
      <c r="F57" s="13"/>
      <c r="H57" s="13"/>
      <c r="I57" t="str">
        <f t="shared" si="1"/>
        <v/>
      </c>
    </row>
    <row r="58" spans="3:9">
      <c r="C58" s="13"/>
      <c r="F58" s="13"/>
      <c r="H58" s="13"/>
      <c r="I58" t="str">
        <f t="shared" si="1"/>
        <v/>
      </c>
    </row>
    <row r="59" spans="3:9">
      <c r="C59" s="13"/>
      <c r="F59" s="13"/>
      <c r="H59" s="13"/>
      <c r="I59" t="str">
        <f t="shared" si="1"/>
        <v/>
      </c>
    </row>
    <row r="60" spans="3:9">
      <c r="C60" s="13"/>
      <c r="F60" s="13"/>
      <c r="H60" s="13"/>
      <c r="I60" t="str">
        <f t="shared" si="1"/>
        <v/>
      </c>
    </row>
    <row r="61" spans="3:9">
      <c r="C61" s="13"/>
      <c r="F61" s="13"/>
      <c r="H61" s="13"/>
      <c r="I61" t="str">
        <f t="shared" si="1"/>
        <v/>
      </c>
    </row>
    <row r="62" spans="3:9">
      <c r="C62" s="13"/>
      <c r="F62" s="13"/>
      <c r="H62" s="13"/>
      <c r="I62" t="str">
        <f t="shared" si="1"/>
        <v/>
      </c>
    </row>
    <row r="63" spans="3:9">
      <c r="C63" s="13"/>
      <c r="F63" s="13"/>
      <c r="H63" s="13"/>
      <c r="I63" t="str">
        <f t="shared" si="1"/>
        <v/>
      </c>
    </row>
    <row r="64" spans="3:9">
      <c r="C64" s="13"/>
      <c r="F64" s="13"/>
      <c r="H64" s="13"/>
      <c r="I64" t="str">
        <f t="shared" si="1"/>
        <v/>
      </c>
    </row>
    <row r="65" spans="3:9">
      <c r="C65" s="13"/>
      <c r="F65" s="13"/>
      <c r="H65" s="13"/>
      <c r="I65" t="str">
        <f t="shared" si="1"/>
        <v/>
      </c>
    </row>
    <row r="66" spans="3:9">
      <c r="C66" s="13"/>
      <c r="F66" s="13"/>
      <c r="H66" s="13"/>
      <c r="I66" t="str">
        <f t="shared" si="1"/>
        <v/>
      </c>
    </row>
    <row r="67" spans="3:9">
      <c r="C67" s="13"/>
      <c r="F67" s="13"/>
      <c r="H67" s="13"/>
      <c r="I67" t="str">
        <f t="shared" si="1"/>
        <v/>
      </c>
    </row>
    <row r="68" spans="3:9">
      <c r="C68" s="13"/>
      <c r="F68" s="13"/>
      <c r="H68" s="13"/>
      <c r="I68" t="str">
        <f t="shared" si="1"/>
        <v/>
      </c>
    </row>
    <row r="69" spans="3:9">
      <c r="C69" s="13"/>
      <c r="F69" s="13"/>
      <c r="H69" s="13"/>
      <c r="I69" t="str">
        <f t="shared" ref="I69:I100" si="2">IF(A69="","",IF(A69=Term-1,0,((I68+Gross_Annual_Premium-Fixed_Expense)*(1+InterestRate)-C69*FaceAmount)/D69))</f>
        <v/>
      </c>
    </row>
    <row r="70" spans="3:9">
      <c r="C70" s="13"/>
      <c r="F70" s="13"/>
      <c r="H70" s="13"/>
      <c r="I70" t="str">
        <f t="shared" si="2"/>
        <v/>
      </c>
    </row>
    <row r="71" spans="3:9">
      <c r="C71" s="13"/>
      <c r="F71" s="13"/>
      <c r="H71" s="13"/>
      <c r="I71" t="str">
        <f t="shared" si="2"/>
        <v/>
      </c>
    </row>
    <row r="72" spans="3:9">
      <c r="C72" s="13"/>
      <c r="F72" s="13"/>
      <c r="H72" s="13"/>
      <c r="I72" t="str">
        <f t="shared" si="2"/>
        <v/>
      </c>
    </row>
    <row r="73" spans="3:9">
      <c r="C73" s="13"/>
      <c r="F73" s="13"/>
      <c r="H73" s="13"/>
      <c r="I73" t="str">
        <f t="shared" si="2"/>
        <v/>
      </c>
    </row>
    <row r="74" spans="3:9">
      <c r="C74" s="13"/>
      <c r="F74" s="13"/>
      <c r="H74" s="13"/>
      <c r="I74" t="str">
        <f t="shared" si="2"/>
        <v/>
      </c>
    </row>
    <row r="75" spans="3:9">
      <c r="C75" s="13"/>
      <c r="F75" s="13"/>
      <c r="H75" s="13"/>
      <c r="I75" t="str">
        <f t="shared" si="2"/>
        <v/>
      </c>
    </row>
    <row r="76" spans="3:9">
      <c r="C76" s="13"/>
      <c r="F76" s="13"/>
      <c r="H76" s="13"/>
      <c r="I76" t="str">
        <f t="shared" si="2"/>
        <v/>
      </c>
    </row>
    <row r="77" spans="3:9">
      <c r="C77" s="13"/>
      <c r="F77" s="13"/>
      <c r="H77" s="13"/>
      <c r="I77" t="str">
        <f t="shared" si="2"/>
        <v/>
      </c>
    </row>
    <row r="78" spans="3:9">
      <c r="C78" s="13"/>
      <c r="F78" s="13"/>
      <c r="H78" s="13"/>
      <c r="I78" t="str">
        <f t="shared" si="2"/>
        <v/>
      </c>
    </row>
    <row r="79" spans="3:9">
      <c r="C79" s="13"/>
      <c r="F79" s="13"/>
      <c r="H79" s="13"/>
      <c r="I79" t="str">
        <f t="shared" si="2"/>
        <v/>
      </c>
    </row>
    <row r="80" spans="3:9">
      <c r="C80" s="13"/>
      <c r="F80" s="13"/>
      <c r="H80" s="13"/>
      <c r="I80" t="str">
        <f t="shared" si="2"/>
        <v/>
      </c>
    </row>
    <row r="81" spans="3:9">
      <c r="C81" s="13"/>
      <c r="F81" s="13"/>
      <c r="H81" s="13"/>
      <c r="I81" t="str">
        <f t="shared" si="2"/>
        <v/>
      </c>
    </row>
    <row r="82" spans="3:9">
      <c r="C82" s="13"/>
      <c r="F82" s="13"/>
      <c r="H82" s="13"/>
      <c r="I82" t="str">
        <f t="shared" si="2"/>
        <v/>
      </c>
    </row>
    <row r="83" spans="3:9">
      <c r="C83" s="13"/>
      <c r="F83" s="13"/>
      <c r="H83" s="13"/>
      <c r="I83" t="str">
        <f t="shared" si="2"/>
        <v/>
      </c>
    </row>
    <row r="84" spans="3:9">
      <c r="C84" s="13"/>
      <c r="F84" s="13"/>
      <c r="H84" s="13"/>
      <c r="I84" t="str">
        <f t="shared" si="2"/>
        <v/>
      </c>
    </row>
    <row r="85" spans="3:9">
      <c r="C85" s="13"/>
      <c r="F85" s="13"/>
      <c r="H85" s="13"/>
      <c r="I85" t="str">
        <f t="shared" si="2"/>
        <v/>
      </c>
    </row>
    <row r="86" spans="3:9">
      <c r="C86" s="13"/>
      <c r="F86" s="13"/>
      <c r="H86" s="13"/>
      <c r="I86" t="str">
        <f t="shared" si="2"/>
        <v/>
      </c>
    </row>
    <row r="87" spans="3:9">
      <c r="C87" s="13"/>
      <c r="F87" s="13"/>
      <c r="H87" s="13"/>
      <c r="I87" t="str">
        <f t="shared" si="2"/>
        <v/>
      </c>
    </row>
    <row r="88" spans="3:9">
      <c r="C88" s="13"/>
      <c r="F88" s="13"/>
      <c r="H88" s="13"/>
      <c r="I88" t="str">
        <f t="shared" si="2"/>
        <v/>
      </c>
    </row>
    <row r="89" spans="3:9">
      <c r="C89" s="13"/>
      <c r="F89" s="13"/>
      <c r="H89" s="13"/>
      <c r="I89" t="str">
        <f t="shared" si="2"/>
        <v/>
      </c>
    </row>
    <row r="90" spans="3:9">
      <c r="C90" s="13"/>
      <c r="F90" s="13"/>
      <c r="H90" s="13"/>
      <c r="I90" t="str">
        <f t="shared" si="2"/>
        <v/>
      </c>
    </row>
    <row r="91" spans="3:9">
      <c r="C91" s="13"/>
      <c r="F91" s="13"/>
      <c r="H91" s="13"/>
      <c r="I91" t="str">
        <f t="shared" si="2"/>
        <v/>
      </c>
    </row>
    <row r="92" spans="3:9">
      <c r="C92" s="13"/>
      <c r="F92" s="13"/>
      <c r="H92" s="13"/>
      <c r="I92" t="str">
        <f t="shared" si="2"/>
        <v/>
      </c>
    </row>
    <row r="93" spans="3:9">
      <c r="C93" s="13"/>
      <c r="F93" s="13"/>
      <c r="H93" s="13"/>
      <c r="I93" t="str">
        <f t="shared" si="2"/>
        <v/>
      </c>
    </row>
    <row r="94" spans="3:9">
      <c r="C94" s="13"/>
      <c r="F94" s="13"/>
      <c r="H94" s="13"/>
      <c r="I94" t="str">
        <f t="shared" si="2"/>
        <v/>
      </c>
    </row>
    <row r="95" spans="3:9">
      <c r="C95" s="13"/>
      <c r="F95" s="13"/>
      <c r="H95" s="13"/>
      <c r="I95" t="str">
        <f t="shared" si="2"/>
        <v/>
      </c>
    </row>
    <row r="96" spans="3:9">
      <c r="C96" s="13"/>
      <c r="F96" s="13"/>
      <c r="H96" s="13"/>
      <c r="I96" t="str">
        <f t="shared" si="2"/>
        <v/>
      </c>
    </row>
    <row r="97" spans="3:9">
      <c r="C97" s="13"/>
      <c r="F97" s="13"/>
      <c r="H97" s="13"/>
      <c r="I97" t="str">
        <f t="shared" si="2"/>
        <v/>
      </c>
    </row>
    <row r="98" spans="3:9">
      <c r="C98" s="13"/>
      <c r="F98" s="13"/>
      <c r="H98" s="13"/>
      <c r="I98" t="str">
        <f t="shared" si="2"/>
        <v/>
      </c>
    </row>
    <row r="99" spans="3:9">
      <c r="C99" s="13"/>
      <c r="F99" s="13"/>
      <c r="H99" s="13"/>
      <c r="I99" t="str">
        <f t="shared" si="2"/>
        <v/>
      </c>
    </row>
    <row r="100" spans="3:9">
      <c r="C100" s="13"/>
      <c r="F100" s="13"/>
      <c r="H100" s="13"/>
      <c r="I100" t="str">
        <f t="shared" si="2"/>
        <v/>
      </c>
    </row>
    <row r="101" spans="3:9">
      <c r="C101" s="13"/>
      <c r="F101" s="13"/>
      <c r="H101" s="13"/>
      <c r="I101" t="str">
        <f t="shared" ref="I101:I132" si="3">IF(A101="","",IF(A101=Term-1,0,((I100+Gross_Annual_Premium-Fixed_Expense)*(1+InterestRate)-C101*FaceAmount)/D101))</f>
        <v/>
      </c>
    </row>
    <row r="102" spans="3:9">
      <c r="C102" s="13"/>
      <c r="F102" s="13"/>
      <c r="H102" s="13"/>
      <c r="I102" t="str">
        <f t="shared" si="3"/>
        <v/>
      </c>
    </row>
    <row r="103" spans="3:9">
      <c r="C103" s="13"/>
      <c r="F103" s="13"/>
      <c r="H103" s="13"/>
      <c r="I103" t="str">
        <f t="shared" si="3"/>
        <v/>
      </c>
    </row>
    <row r="104" spans="3:9">
      <c r="C104" s="13"/>
      <c r="F104" s="13"/>
      <c r="H104" s="13"/>
      <c r="I104" t="str">
        <f t="shared" si="3"/>
        <v/>
      </c>
    </row>
    <row r="105" spans="3:9">
      <c r="C105" s="13"/>
      <c r="F105" s="13"/>
      <c r="H105" s="13"/>
      <c r="I105" t="str">
        <f t="shared" si="3"/>
        <v/>
      </c>
    </row>
    <row r="106" spans="3:9">
      <c r="C106" s="13"/>
      <c r="F106" s="13"/>
      <c r="H106" s="13"/>
      <c r="I106" t="str">
        <f t="shared" si="3"/>
        <v/>
      </c>
    </row>
    <row r="107" spans="3:9">
      <c r="C107" s="13"/>
      <c r="F107" s="13"/>
      <c r="H107" s="13"/>
      <c r="I107" t="str">
        <f t="shared" si="3"/>
        <v/>
      </c>
    </row>
    <row r="108" spans="3:9">
      <c r="C108" s="13"/>
      <c r="F108" s="13"/>
      <c r="H108" s="13"/>
      <c r="I108" t="str">
        <f t="shared" si="3"/>
        <v/>
      </c>
    </row>
    <row r="109" spans="3:9">
      <c r="C109" s="13"/>
      <c r="F109" s="13"/>
      <c r="H109" s="13"/>
      <c r="I109" t="str">
        <f t="shared" si="3"/>
        <v/>
      </c>
    </row>
    <row r="110" spans="3:9">
      <c r="I110" t="str">
        <f t="shared" si="3"/>
        <v/>
      </c>
    </row>
    <row r="111" spans="3:9">
      <c r="I111" t="str">
        <f t="shared" si="3"/>
        <v/>
      </c>
    </row>
    <row r="112" spans="3:9">
      <c r="I112" t="str">
        <f t="shared" si="3"/>
        <v/>
      </c>
    </row>
    <row r="113" spans="9:9">
      <c r="I113" t="str">
        <f t="shared" si="3"/>
        <v/>
      </c>
    </row>
    <row r="114" spans="9:9">
      <c r="I114" t="str">
        <f t="shared" si="3"/>
        <v/>
      </c>
    </row>
    <row r="115" spans="9:9">
      <c r="I115" t="str">
        <f t="shared" si="3"/>
        <v/>
      </c>
    </row>
    <row r="116" spans="9:9">
      <c r="I116" t="str">
        <f t="shared" si="3"/>
        <v/>
      </c>
    </row>
    <row r="117" spans="9:9">
      <c r="I117" t="str">
        <f t="shared" si="3"/>
        <v/>
      </c>
    </row>
    <row r="118" spans="9:9">
      <c r="I118" t="str">
        <f t="shared" si="3"/>
        <v/>
      </c>
    </row>
    <row r="119" spans="9:9">
      <c r="I119" t="str">
        <f t="shared" si="3"/>
        <v/>
      </c>
    </row>
    <row r="120" spans="9:9">
      <c r="I120" t="str">
        <f t="shared" si="3"/>
        <v/>
      </c>
    </row>
    <row r="121" spans="9:9">
      <c r="I121" t="str">
        <f t="shared" si="3"/>
        <v/>
      </c>
    </row>
    <row r="122" spans="9:9">
      <c r="I122" t="str">
        <f t="shared" si="3"/>
        <v/>
      </c>
    </row>
    <row r="123" spans="9:9">
      <c r="I123" t="str">
        <f t="shared" si="3"/>
        <v/>
      </c>
    </row>
    <row r="124" spans="9:9">
      <c r="I124" t="str">
        <f t="shared" si="3"/>
        <v/>
      </c>
    </row>
    <row r="125" spans="9:9">
      <c r="I125" t="str">
        <f t="shared" si="3"/>
        <v/>
      </c>
    </row>
    <row r="126" spans="9:9">
      <c r="I126" t="str">
        <f t="shared" si="3"/>
        <v/>
      </c>
    </row>
    <row r="127" spans="9:9">
      <c r="I127" t="str">
        <f t="shared" si="3"/>
        <v/>
      </c>
    </row>
    <row r="128" spans="9:9">
      <c r="I128" t="str">
        <f t="shared" si="3"/>
        <v/>
      </c>
    </row>
    <row r="129" spans="9:9">
      <c r="I129" t="str">
        <f t="shared" si="3"/>
        <v/>
      </c>
    </row>
    <row r="130" spans="9:9">
      <c r="I130" t="str">
        <f t="shared" si="3"/>
        <v/>
      </c>
    </row>
    <row r="131" spans="9:9">
      <c r="I131" t="str">
        <f t="shared" si="3"/>
        <v/>
      </c>
    </row>
    <row r="132" spans="9:9">
      <c r="I132" t="str">
        <f t="shared" si="3"/>
        <v/>
      </c>
    </row>
    <row r="133" spans="9:9">
      <c r="I133" t="str">
        <f t="shared" ref="I133:I151" si="4">IF(A133="","",IF(A133=Term-1,0,((I132+Gross_Annual_Premium-Fixed_Expense)*(1+InterestRate)-C133*FaceAmount)/D133))</f>
        <v/>
      </c>
    </row>
    <row r="134" spans="9:9">
      <c r="I134" t="str">
        <f t="shared" si="4"/>
        <v/>
      </c>
    </row>
    <row r="135" spans="9:9">
      <c r="I135" t="str">
        <f t="shared" si="4"/>
        <v/>
      </c>
    </row>
    <row r="136" spans="9:9">
      <c r="I136" t="str">
        <f t="shared" si="4"/>
        <v/>
      </c>
    </row>
    <row r="137" spans="9:9">
      <c r="I137" t="str">
        <f t="shared" si="4"/>
        <v/>
      </c>
    </row>
    <row r="138" spans="9:9">
      <c r="I138" t="str">
        <f t="shared" si="4"/>
        <v/>
      </c>
    </row>
    <row r="139" spans="9:9">
      <c r="I139" t="str">
        <f t="shared" si="4"/>
        <v/>
      </c>
    </row>
    <row r="140" spans="9:9">
      <c r="I140" t="str">
        <f t="shared" si="4"/>
        <v/>
      </c>
    </row>
    <row r="141" spans="9:9">
      <c r="I141" t="str">
        <f t="shared" si="4"/>
        <v/>
      </c>
    </row>
    <row r="142" spans="9:9">
      <c r="I142" t="str">
        <f t="shared" si="4"/>
        <v/>
      </c>
    </row>
    <row r="143" spans="9:9">
      <c r="I143" t="str">
        <f t="shared" si="4"/>
        <v/>
      </c>
    </row>
    <row r="144" spans="9:9">
      <c r="I144" t="str">
        <f t="shared" si="4"/>
        <v/>
      </c>
    </row>
    <row r="145" spans="9:9">
      <c r="I145" t="str">
        <f t="shared" si="4"/>
        <v/>
      </c>
    </row>
    <row r="146" spans="9:9">
      <c r="I146" t="str">
        <f t="shared" si="4"/>
        <v/>
      </c>
    </row>
    <row r="147" spans="9:9">
      <c r="I147" t="str">
        <f t="shared" si="4"/>
        <v/>
      </c>
    </row>
    <row r="148" spans="9:9">
      <c r="I148" t="str">
        <f t="shared" si="4"/>
        <v/>
      </c>
    </row>
    <row r="149" spans="9:9">
      <c r="I149" t="str">
        <f t="shared" si="4"/>
        <v/>
      </c>
    </row>
    <row r="150" spans="9:9">
      <c r="I150" t="str">
        <f t="shared" si="4"/>
        <v/>
      </c>
    </row>
    <row r="151" spans="9:9">
      <c r="I151" t="str">
        <f t="shared" si="4"/>
        <v/>
      </c>
    </row>
  </sheetData>
  <mergeCells count="1">
    <mergeCell ref="A1:F1"/>
  </mergeCells>
  <conditionalFormatting sqref="A26:H27">
    <cfRule type="expression" dxfId="10" priority="21">
      <formula>AND(ISEVEN(ROW()-ROW($A$4)+1), $A26&lt;&gt;"")</formula>
    </cfRule>
    <cfRule type="expression" dxfId="9" priority="22">
      <formula>AND(ISODD(ROW()-ROW($A$4)+1), $A26&lt;&gt;"")</formula>
    </cfRule>
    <cfRule type="expression" dxfId="8" priority="23">
      <formula>#REF!&lt;&gt;""</formula>
    </cfRule>
  </conditionalFormatting>
  <conditionalFormatting sqref="A4:I130">
    <cfRule type="expression" dxfId="7" priority="9">
      <formula>AND(ISEVEN(ROW()-ROW($A$4)+1), $A4&lt;&gt;"")</formula>
    </cfRule>
    <cfRule type="expression" dxfId="6" priority="10">
      <formula>AND(ISODD(ROW()-ROW($A$4)+1), $A4&lt;&gt;"")</formula>
    </cfRule>
  </conditionalFormatting>
  <conditionalFormatting sqref="K10:L10">
    <cfRule type="expression" dxfId="5" priority="5">
      <formula>AND(ISEVEN(ROW()-ROW($A$4)+1), $A8&lt;&gt;"")</formula>
    </cfRule>
    <cfRule type="expression" dxfId="4" priority="6">
      <formula>AND(ISODD(ROW()-ROW($A$4)+1), $A8&lt;&gt;"")</formula>
    </cfRule>
  </conditionalFormatting>
  <conditionalFormatting sqref="K4:M4">
    <cfRule type="expression" dxfId="3" priority="7">
      <formula>AND(ISEVEN(ROW()-ROW($A$4)+1), $A4&lt;&gt;"")</formula>
    </cfRule>
    <cfRule type="expression" dxfId="2" priority="8">
      <formula>AND(ISODD(ROW()-ROW($A$4)+1), $A4&lt;&gt;"")</formula>
    </cfRule>
  </conditionalFormatting>
  <conditionalFormatting sqref="K7:M7">
    <cfRule type="expression" dxfId="1" priority="1">
      <formula>AND(ISEVEN(ROW()-ROW($A$4)+1), $A7&lt;&gt;"")</formula>
    </cfRule>
    <cfRule type="expression" dxfId="0" priority="2">
      <formula>AND(ISODD(ROW()-ROW($A$4)+1), $A7&lt;&gt;"")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594D-1061-4E6E-AF16-AF5CF0F8D12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FNS</vt:lpstr>
      <vt:lpstr>MNS</vt:lpstr>
      <vt:lpstr>Pricing Model</vt:lpstr>
      <vt:lpstr>Sensitivity</vt:lpstr>
      <vt:lpstr>Expense_Load</vt:lpstr>
      <vt:lpstr>FaceAmount</vt:lpstr>
      <vt:lpstr>Fixed_Expense</vt:lpstr>
      <vt:lpstr>Gender</vt:lpstr>
      <vt:lpstr>Gross_Annual_Premium</vt:lpstr>
      <vt:lpstr>InterestRate</vt:lpstr>
      <vt:lpstr>IssueAge</vt:lpstr>
      <vt:lpstr>Profit_Margin</vt:lpstr>
      <vt:lpstr>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Kimmel</dc:creator>
  <cp:lastModifiedBy>Devin Kimmel</cp:lastModifiedBy>
  <dcterms:created xsi:type="dcterms:W3CDTF">2026-03-04T20:37:31Z</dcterms:created>
  <dcterms:modified xsi:type="dcterms:W3CDTF">2026-03-07T20:47:23Z</dcterms:modified>
</cp:coreProperties>
</file>